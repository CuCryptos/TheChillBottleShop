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Startup Costs" sheetId="3" state="visible" r:id="rId5"/>
    <sheet name="Monthly P&amp;L" sheetId="4" state="visible" r:id="rId6"/>
    <sheet name="Annual Summary" sheetId="5" state="visible" r:id="rId7"/>
    <sheet name="Break-even" sheetId="6" state="visible" r:id="rId8"/>
    <sheet name="Budget Expor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<sst xmlns="http://schemas.openxmlformats.org/spreadsheetml/2006/main" count="921" uniqueCount="236">
  <si>
    <t xml:space="preserve">The Chill Bottle Shop — Financial Model</t>
  </si>
  <si>
    <t xml:space="preserve">Placeholder model for planning, lending and investor conversations. Every number in blue is an assumption to replace with real quotes.</t>
  </si>
  <si>
    <t xml:space="preserve">How to use</t>
  </si>
  <si>
    <t xml:space="preserve">1. Edit only blue cells on the Assumptions and Startup Costs sheets. Yellow cells are the key drivers.</t>
  </si>
  <si>
    <t xml:space="preserve">2. Everything else is a formula: Monthly P&amp;L, Annual Summary, Break-even and Budget Export update automatically.</t>
  </si>
  <si>
    <t xml:space="preserve">3. Budget Export is in the exact month,line,amount format the admin finance dashboard imports. Copy columns A:C (with the header) and paste into Admin → Finance → Budget import.</t>
  </si>
  <si>
    <t xml:space="preserve">Colour key</t>
  </si>
  <si>
    <t xml:space="preserve">Blue text = hardcoded input · Black = formula · Green = link to another sheet · Yellow fill = key assumption</t>
  </si>
  <si>
    <t xml:space="preserve">Accounting conventions</t>
  </si>
  <si>
    <t xml:space="preserve">• Cash basis for membership fees: an annual fee is booked in the month it is charged (join or renewal), matching the dashboard's actuals.</t>
  </si>
  <si>
    <t xml:space="preserve">• Beer revenue excludes Hawaiʻi GET, which is added at checkout and remitted.</t>
  </si>
  <si>
    <t xml:space="preserve">• Refunds are forfeited-order refunds (90% of the order); resale of forfeited beer to the waitlist is not modeled (conservative).</t>
  </si>
  <si>
    <t xml:space="preserve">• Owner is unpaid in years 1–3; add an owner draw on Assumptions if needed.</t>
  </si>
  <si>
    <t xml:space="preserve">• Income taxes are not modeled (entity type undecided).</t>
  </si>
  <si>
    <t xml:space="preserve">• Funding needed = startup spend + the deepest projected cumulative cash shortfall + a cash cushion, so cash never goes negative in the base case.</t>
  </si>
  <si>
    <t xml:space="preserve">Sources for placeholder assumptions</t>
  </si>
  <si>
    <t xml:space="preserve">• Market figures, churn, membership pricing and channel benchmarks: reports/Beer drop market research Hawaii.md (September 2026, search-snippet quality).</t>
  </si>
  <si>
    <t xml:space="preserve">• Oʻahu GET rate 4.712% (4% state + 0.5% county surcharge, max pass-on): Hawaiʻi Department of Taxation.</t>
  </si>
  <si>
    <t xml:space="preserve">• Rent, build-out, equipment, payroll, insurance and legal costs: rough Oʻahu estimates, NOT quotes. Replace before sharing with a lender.</t>
  </si>
  <si>
    <t xml:space="preserve">Assumptions</t>
  </si>
  <si>
    <t xml:space="preserve">Blue = input. Yellow = key driver. Year columns apply to operating years 1–3 counted from launch.</t>
  </si>
  <si>
    <t xml:space="preserve">Assumption</t>
  </si>
  <si>
    <t xml:space="preserve">Unit</t>
  </si>
  <si>
    <t xml:space="preserve">Year 1</t>
  </si>
  <si>
    <t xml:space="preserve">Year 2</t>
  </si>
  <si>
    <t xml:space="preserve">Year 3</t>
  </si>
  <si>
    <t xml:space="preserve">Note / source</t>
  </si>
  <si>
    <t xml:space="preserve">Timing</t>
  </si>
  <si>
    <t xml:space="preserve">First month of sales (after Class 4 license)</t>
  </si>
  <si>
    <t xml:space="preserve">date</t>
  </si>
  <si>
    <t xml:space="preserve">Placeholder: ~6 months for legal opinion, lease, application, notice and hearing.</t>
  </si>
  <si>
    <t xml:space="preserve">Local delivery starts in operating month</t>
  </si>
  <si>
    <t xml:space="preserve">month #</t>
  </si>
  <si>
    <t xml:space="preserve">Phase 2 per product spec.</t>
  </si>
  <si>
    <t xml:space="preserve">Membership</t>
  </si>
  <si>
    <t xml:space="preserve">Founding annual fee</t>
  </si>
  <si>
    <t xml:space="preserve">$/yr</t>
  </si>
  <si>
    <t xml:space="preserve">Placeholder; research: access clubs $99–$325/yr.</t>
  </si>
  <si>
    <t xml:space="preserve">Member annual fee</t>
  </si>
  <si>
    <t xml:space="preserve">Placeholder.</t>
  </si>
  <si>
    <t xml:space="preserve">Founding cap</t>
  </si>
  <si>
    <t xml:space="preserve">members</t>
  </si>
  <si>
    <t xml:space="preserve">Per spec.</t>
  </si>
  <si>
    <t xml:space="preserve">Founding members at launch</t>
  </si>
  <si>
    <t xml:space="preserve">Offered to the waitlist first.</t>
  </si>
  <si>
    <t xml:space="preserve">Founding adds per month until cap</t>
  </si>
  <si>
    <t xml:space="preserve">members/mo</t>
  </si>
  <si>
    <t xml:space="preserve">Members at launch</t>
  </si>
  <si>
    <t xml:space="preserve">Waitlist conversion; placeholder.</t>
  </si>
  <si>
    <t xml:space="preserve">Member gross adds per month</t>
  </si>
  <si>
    <t xml:space="preserve">Placeholder ramp.</t>
  </si>
  <si>
    <t xml:space="preserve">Member churn</t>
  </si>
  <si>
    <t xml:space="preserve">%/month</t>
  </si>
  <si>
    <t xml:space="preserve">≈22%/yr; wine clubs lose 20–36%/yr (research).</t>
  </si>
  <si>
    <t xml:space="preserve">Founding churn</t>
  </si>
  <si>
    <t xml:space="preserve">Spots refilled from the waitlist.</t>
  </si>
  <si>
    <t xml:space="preserve">Beer sales</t>
  </si>
  <si>
    <t xml:space="preserve">Members buying in a given month</t>
  </si>
  <si>
    <t xml:space="preserve">%</t>
  </si>
  <si>
    <t xml:space="preserve">Average beer spend per buying member</t>
  </si>
  <si>
    <t xml:space="preserve">$/month</t>
  </si>
  <si>
    <t xml:space="preserve">About three specialty 4-packs a month. Research: would-be direct buyers cite ~$104/mo.</t>
  </si>
  <si>
    <t xml:space="preserve">Beer cost (Von Oster invoice) as % of beer sales</t>
  </si>
  <si>
    <t xml:space="preserve">Targets ~32% gross margin on specialty beer; confirm with Von Oster price list.</t>
  </si>
  <si>
    <t xml:space="preserve">Orders forfeited (not collected)</t>
  </si>
  <si>
    <t xml:space="preserve">% of sales</t>
  </si>
  <si>
    <t xml:space="preserve">Refund on forfeited orders</t>
  </si>
  <si>
    <t xml:space="preserve">Per allocation_policy.</t>
  </si>
  <si>
    <t xml:space="preserve">Variable costs</t>
  </si>
  <si>
    <t xml:space="preserve">Card processing</t>
  </si>
  <si>
    <t xml:space="preserve">% of revenue</t>
  </si>
  <si>
    <t xml:space="preserve">Stripe ~2.9% + $0.30; blended estimate.</t>
  </si>
  <si>
    <t xml:space="preserve">Supplies and packaging</t>
  </si>
  <si>
    <t xml:space="preserve">% of beer sales</t>
  </si>
  <si>
    <t xml:space="preserve">Average order value</t>
  </si>
  <si>
    <t xml:space="preserve">$</t>
  </si>
  <si>
    <t xml:space="preserve">Used for delivery count.</t>
  </si>
  <si>
    <t xml:space="preserve">Orders delivered (after delivery starts)</t>
  </si>
  <si>
    <t xml:space="preserve">Net cost per delivery after delivery fee</t>
  </si>
  <si>
    <t xml:space="preserve">Assumes a delivery fee covers most of the cost.</t>
  </si>
  <si>
    <t xml:space="preserve">SMS, email and ID checks per active member</t>
  </si>
  <si>
    <t xml:space="preserve">Twilio/Resend/AgeChecker usage.</t>
  </si>
  <si>
    <t xml:space="preserve">Fixed monthly costs</t>
  </si>
  <si>
    <t xml:space="preserve">Rent incl. CAM (~1,200 sq ft)</t>
  </si>
  <si>
    <t xml:space="preserve">Placeholder: ~$3/sq ft/mo Kakaʻako/Kalihi/Iwilei. Get quotes.</t>
  </si>
  <si>
    <t xml:space="preserve">Rent escalator</t>
  </si>
  <si>
    <t xml:space="preserve">%/yr</t>
  </si>
  <si>
    <t xml:space="preserve">Utilities incl. walk-in cooler power</t>
  </si>
  <si>
    <t xml:space="preserve">Hawaiʻi electricity is expensive; placeholder.</t>
  </si>
  <si>
    <t xml:space="preserve">Shop manager / registered liquor manager</t>
  </si>
  <si>
    <t xml:space="preserve">Part-time counter staff</t>
  </si>
  <si>
    <t xml:space="preserve">people</t>
  </si>
  <si>
    <t xml:space="preserve">Manager covers most pickup windows in year 1.</t>
  </si>
  <si>
    <t xml:space="preserve">Hours per part-timer</t>
  </si>
  <si>
    <t xml:space="preserve">hrs/week</t>
  </si>
  <si>
    <t xml:space="preserve">Part-time wage</t>
  </si>
  <si>
    <t xml:space="preserve">$/hr</t>
  </si>
  <si>
    <t xml:space="preserve">Payroll taxes and benefits</t>
  </si>
  <si>
    <t xml:space="preserve">% of wages</t>
  </si>
  <si>
    <t xml:space="preserve">Insurance (GL, liquor liability, property, WC)</t>
  </si>
  <si>
    <t xml:space="preserve">Get broker quote.</t>
  </si>
  <si>
    <t xml:space="preserve">Licenses and permits (annual fees, amortized)</t>
  </si>
  <si>
    <t xml:space="preserve">Confirm Class 4 fee with Honolulu Liquor Commission.</t>
  </si>
  <si>
    <t xml:space="preserve">Software base (Vercel, Supabase, Resend, AgeChecker, POS)</t>
  </si>
  <si>
    <t xml:space="preserve">Marketing</t>
  </si>
  <si>
    <t xml:space="preserve">Legal and accounting</t>
  </si>
  <si>
    <t xml:space="preserve">Other operating</t>
  </si>
  <si>
    <t xml:space="preserve">Capital and financing</t>
  </si>
  <si>
    <t xml:space="preserve">Depreciation life for equipment and build-out</t>
  </si>
  <si>
    <t xml:space="preserve">years</t>
  </si>
  <si>
    <t xml:space="preserve">Straight line.</t>
  </si>
  <si>
    <t xml:space="preserve">SBA 7(a) loan</t>
  </si>
  <si>
    <t xml:space="preserve">Placeholder; set 0 for all-equity.</t>
  </si>
  <si>
    <t xml:space="preserve">Loan interest rate</t>
  </si>
  <si>
    <t xml:space="preserve">Prime + spread; placeholder.</t>
  </si>
  <si>
    <t xml:space="preserve">Loan term</t>
  </si>
  <si>
    <t xml:space="preserve">Cash cushion on top of projected losses</t>
  </si>
  <si>
    <t xml:space="preserve">months of fixed costs</t>
  </si>
  <si>
    <t xml:space="preserve">Buffer for license delays and a slower ramp.</t>
  </si>
  <si>
    <t xml:space="preserve">Startup costs and funding ($)</t>
  </si>
  <si>
    <t xml:space="preserve">Blue = input (placeholder estimates, not quotes). 'Capital' items are depreciated.</t>
  </si>
  <si>
    <t xml:space="preserve">Item</t>
  </si>
  <si>
    <t xml:space="preserve">Capital?</t>
  </si>
  <si>
    <t xml:space="preserve">Amount ($)</t>
  </si>
  <si>
    <t xml:space="preserve">Note</t>
  </si>
  <si>
    <t xml:space="preserve">Legal: HRS §281-42 opinion, entity, license application</t>
  </si>
  <si>
    <t xml:space="preserve">N</t>
  </si>
  <si>
    <t xml:space="preserve">Liquor attorney; placeholder.</t>
  </si>
  <si>
    <t xml:space="preserve">License and permit fees (application, first year)</t>
  </si>
  <si>
    <t xml:space="preserve">Confirm with Honolulu Liquor Commission.</t>
  </si>
  <si>
    <t xml:space="preserve">Lease deposit (2 months)</t>
  </si>
  <si>
    <t xml:space="preserve">Formula from rent.</t>
  </si>
  <si>
    <t xml:space="preserve">Rent during build-out and licensing (3 months)</t>
  </si>
  <si>
    <t xml:space="preserve">Build-out: electrical, counter, finishes</t>
  </si>
  <si>
    <t xml:space="preserve">Y</t>
  </si>
  <si>
    <t xml:space="preserve">Walk-in cooler, installed</t>
  </si>
  <si>
    <t xml:space="preserve">Placeholder; get quotes.</t>
  </si>
  <si>
    <t xml:space="preserve">Shelving, racking and fixtures</t>
  </si>
  <si>
    <t xml:space="preserve">POS hardware, ID scanners and tablets</t>
  </si>
  <si>
    <t xml:space="preserve">Signage and branding</t>
  </si>
  <si>
    <t xml:space="preserve">Insurance deposit</t>
  </si>
  <si>
    <t xml:space="preserve">Opening supplies and packaging</t>
  </si>
  <si>
    <t xml:space="preserve">Pre-launch marketing</t>
  </si>
  <si>
    <t xml:space="preserve">Waitlist and Founding launch.</t>
  </si>
  <si>
    <t xml:space="preserve">Contingency (10% of the above)</t>
  </si>
  <si>
    <t xml:space="preserve">Projected operating losses to fund (deepest cumulative cash shortfall)</t>
  </si>
  <si>
    <t xml:space="preserve">Cash cushion (months of month-1 fixed costs)</t>
  </si>
  <si>
    <t xml:space="preserve">Total funding needed</t>
  </si>
  <si>
    <t xml:space="preserve">Capital items (depreciated)</t>
  </si>
  <si>
    <t xml:space="preserve">Funding sources</t>
  </si>
  <si>
    <t xml:space="preserve">Owner equity required</t>
  </si>
  <si>
    <t xml:space="preserve">Total sources</t>
  </si>
  <si>
    <t xml:space="preserve">Opening cash at launch (sources − spend before launch)</t>
  </si>
  <si>
    <t xml:space="preserve">Monthly P&amp;L — 36 months from launch ($)</t>
  </si>
  <si>
    <t xml:space="preserve">All formulas. Edit inputs on Assumptions and Startup Costs.</t>
  </si>
  <si>
    <t xml:space="preserve">Operating month</t>
  </si>
  <si>
    <t xml:space="preserve">Month</t>
  </si>
  <si>
    <t xml:space="preserve">Operating year</t>
  </si>
  <si>
    <t xml:space="preserve">Members</t>
  </si>
  <si>
    <t xml:space="preserve">Founding gross adds</t>
  </si>
  <si>
    <t xml:space="preserve">Founding members (end of month)</t>
  </si>
  <si>
    <t xml:space="preserve">Member gross adds</t>
  </si>
  <si>
    <t xml:space="preserve">Members (end of month)</t>
  </si>
  <si>
    <t xml:space="preserve">Total active members</t>
  </si>
  <si>
    <t xml:space="preserve">Founding renewals charged</t>
  </si>
  <si>
    <t xml:space="preserve">Member renewals charged</t>
  </si>
  <si>
    <t xml:space="preserve">Revenue</t>
  </si>
  <si>
    <t xml:space="preserve">Beer sales (excl. GET)</t>
  </si>
  <si>
    <t xml:space="preserve">Refunds on forfeited orders</t>
  </si>
  <si>
    <t xml:space="preserve">Membership fees (cash basis)</t>
  </si>
  <si>
    <t xml:space="preserve">Total revenue</t>
  </si>
  <si>
    <t xml:space="preserve">Cost of goods sold</t>
  </si>
  <si>
    <t xml:space="preserve">Beer COGS (Von Oster invoices)</t>
  </si>
  <si>
    <t xml:space="preserve">Gross profit</t>
  </si>
  <si>
    <t xml:space="preserve">Gross margin</t>
  </si>
  <si>
    <t xml:space="preserve">Operating expenses</t>
  </si>
  <si>
    <t xml:space="preserve">Rent</t>
  </si>
  <si>
    <t xml:space="preserve">Utilities</t>
  </si>
  <si>
    <t xml:space="preserve">Payroll incl. taxes</t>
  </si>
  <si>
    <t xml:space="preserve">Insurance</t>
  </si>
  <si>
    <t xml:space="preserve">Licenses and permits</t>
  </si>
  <si>
    <t xml:space="preserve">Software and messaging</t>
  </si>
  <si>
    <t xml:space="preserve">Delivery (net of fees)</t>
  </si>
  <si>
    <t xml:space="preserve">Total operating expenses</t>
  </si>
  <si>
    <t xml:space="preserve">EBITDA</t>
  </si>
  <si>
    <t xml:space="preserve">Below EBITDA</t>
  </si>
  <si>
    <t xml:space="preserve">Depreciation</t>
  </si>
  <si>
    <t xml:space="preserve">Loan balance (start of month)</t>
  </si>
  <si>
    <t xml:space="preserve">Interest</t>
  </si>
  <si>
    <t xml:space="preserve">Principal repaid</t>
  </si>
  <si>
    <t xml:space="preserve">Net income (pre-tax)</t>
  </si>
  <si>
    <t xml:space="preserve">Cash</t>
  </si>
  <si>
    <t xml:space="preserve">Operating cash flow after debt service</t>
  </si>
  <si>
    <t xml:space="preserve">Cash balance (end of month)</t>
  </si>
  <si>
    <t xml:space="preserve">Cumulative cash flow since launch</t>
  </si>
  <si>
    <t xml:space="preserve">EBITDA positive from here on (1 = yes)</t>
  </si>
  <si>
    <t xml:space="preserve">Annual summary ($)</t>
  </si>
  <si>
    <t xml:space="preserve">Active members (end of year)</t>
  </si>
  <si>
    <t xml:space="preserve">Refunds</t>
  </si>
  <si>
    <t xml:space="preserve">Membership fees</t>
  </si>
  <si>
    <t xml:space="preserve">Beer COGS</t>
  </si>
  <si>
    <t xml:space="preserve">Cash balance (end of year)</t>
  </si>
  <si>
    <t xml:space="preserve">Break-even (year-1 run rate)</t>
  </si>
  <si>
    <t xml:space="preserve">Monthly fixed costs (month 12)</t>
  </si>
  <si>
    <t xml:space="preserve">Beer contribution per active member per month</t>
  </si>
  <si>
    <t xml:space="preserve">Membership contribution per member per month (Member tier)</t>
  </si>
  <si>
    <t xml:space="preserve">Total contribution per member per month</t>
  </si>
  <si>
    <t xml:space="preserve">Active members needed to cover fixed costs</t>
  </si>
  <si>
    <t xml:space="preserve">EBITDA stays positive from operating month</t>
  </si>
  <si>
    <t xml:space="preserve">Lowest cash balance in 36 months</t>
  </si>
  <si>
    <t xml:space="preserve">Contribution uses year-1 participation and spend, and prices every member at the Member fee (conservative).</t>
  </si>
  <si>
    <t xml:space="preserve">Sensitivity: active members needed to break even</t>
  </si>
  <si>
    <t xml:space="preserve">Rows = beer spend per buying member ($/month). Columns = beer gross margin. Blue headers are editable.</t>
  </si>
  <si>
    <t xml:space="preserve">Spend / margin</t>
  </si>
  <si>
    <t xml:space="preserve">month</t>
  </si>
  <si>
    <t xml:space="preserve">line</t>
  </si>
  <si>
    <t xml:space="preserve">amount</t>
  </si>
  <si>
    <t xml:space="preserve">Paste A:C (with header) into Admin → Finance → Budget import. Amounts in dollars; refunds are negative.</t>
  </si>
  <si>
    <t xml:space="preserve">beer_sales</t>
  </si>
  <si>
    <t xml:space="preserve">refunds</t>
  </si>
  <si>
    <t xml:space="preserve">membership_fees</t>
  </si>
  <si>
    <t xml:space="preserve">beer_cogs</t>
  </si>
  <si>
    <t xml:space="preserve">rent</t>
  </si>
  <si>
    <t xml:space="preserve">utilities</t>
  </si>
  <si>
    <t xml:space="preserve">payroll</t>
  </si>
  <si>
    <t xml:space="preserve">insurance</t>
  </si>
  <si>
    <t xml:space="preserve">licenses</t>
  </si>
  <si>
    <t xml:space="preserve">software</t>
  </si>
  <si>
    <t xml:space="preserve">payment_processing</t>
  </si>
  <si>
    <t xml:space="preserve">marketing</t>
  </si>
  <si>
    <t xml:space="preserve">professional_fees</t>
  </si>
  <si>
    <t xml:space="preserve">delivery</t>
  </si>
  <si>
    <t xml:space="preserve">supplies</t>
  </si>
  <si>
    <t xml:space="preserve">other_opex</t>
  </si>
  <si>
    <t xml:space="preserve">depreciation</t>
  </si>
  <si>
    <t xml:space="preserve">interest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</si>
</sst>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 yyyy"/>
    <numFmt numFmtId="166" formatCode="0"/>
    <numFmt numFmtId="167" formatCode="\$#,##0;&quot;($&quot;#,##0\);\-"/>
    <numFmt numFmtId="168" formatCode="#,##0;\(#,##0\);\-"/>
    <numFmt numFmtId="169" formatCode="0.0%;\(0.0%\);\-"/>
    <numFmt numFmtId="170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2A33"/>
        <bgColor rgb="FF003300"/>
      </patternFill>
    </fill>
    <fill>
      <patternFill patternType="solid">
        <fgColor rgb="FFECE6DB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E6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E2A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5" min="3" style="0" width="13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19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20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15" hidden="false" customHeight="false" outlineLevel="0" collapsed="false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</row>
    <row r="5" customFormat="false" ht="15" hidden="false" customHeight="false" outlineLevel="0" collapsed="false">
      <c r="A5" s="7" t="s">
        <v>27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2" t="s">
        <v>28</v>
      </c>
      <c r="B6" s="2" t="s">
        <v>29</v>
      </c>
      <c r="C6" s="9" t="n">
        <v>46478</v>
      </c>
      <c r="D6" s="4"/>
      <c r="E6" s="4"/>
      <c r="F6" s="10" t="s">
        <v>30</v>
      </c>
    </row>
    <row r="7" customFormat="false" ht="15" hidden="false" customHeight="false" outlineLevel="0" collapsed="false">
      <c r="A7" s="2" t="s">
        <v>31</v>
      </c>
      <c r="B7" s="2" t="s">
        <v>32</v>
      </c>
      <c r="C7" s="11" t="n">
        <v>7</v>
      </c>
      <c r="D7" s="4"/>
      <c r="E7" s="4"/>
      <c r="F7" s="10" t="s">
        <v>33</v>
      </c>
    </row>
    <row r="8" customFormat="false" ht="15" hidden="false" customHeight="false" outlineLevel="0" collapsed="false">
      <c r="A8" s="7" t="s">
        <v>34</v>
      </c>
      <c r="B8" s="8"/>
      <c r="C8" s="8"/>
      <c r="D8" s="8"/>
      <c r="E8" s="8"/>
      <c r="F8" s="8"/>
    </row>
    <row r="9" customFormat="false" ht="15" hidden="false" customHeight="false" outlineLevel="0" collapsed="false">
      <c r="A9" s="2" t="s">
        <v>35</v>
      </c>
      <c r="B9" s="2" t="s">
        <v>36</v>
      </c>
      <c r="C9" s="12" t="n">
        <v>150</v>
      </c>
      <c r="D9" s="4"/>
      <c r="E9" s="4"/>
      <c r="F9" s="10" t="s">
        <v>37</v>
      </c>
    </row>
    <row r="10" customFormat="false" ht="15" hidden="false" customHeight="false" outlineLevel="0" collapsed="false">
      <c r="A10" s="2" t="s">
        <v>38</v>
      </c>
      <c r="B10" s="2" t="s">
        <v>36</v>
      </c>
      <c r="C10" s="12" t="n">
        <v>75</v>
      </c>
      <c r="D10" s="4"/>
      <c r="E10" s="4"/>
      <c r="F10" s="10" t="s">
        <v>39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13" t="n">
        <v>100</v>
      </c>
      <c r="D11" s="4"/>
      <c r="E11" s="4"/>
      <c r="F11" s="10" t="s">
        <v>42</v>
      </c>
    </row>
    <row r="12" customFormat="false" ht="15" hidden="false" customHeight="false" outlineLevel="0" collapsed="false">
      <c r="A12" s="2" t="s">
        <v>43</v>
      </c>
      <c r="B12" s="2" t="s">
        <v>41</v>
      </c>
      <c r="C12" s="14" t="n">
        <v>60</v>
      </c>
      <c r="D12" s="4"/>
      <c r="E12" s="4"/>
      <c r="F12" s="10" t="s">
        <v>44</v>
      </c>
    </row>
    <row r="13" customFormat="false" ht="15" hidden="false" customHeight="false" outlineLevel="0" collapsed="false">
      <c r="A13" s="2" t="s">
        <v>45</v>
      </c>
      <c r="B13" s="2" t="s">
        <v>46</v>
      </c>
      <c r="C13" s="13" t="n">
        <v>8</v>
      </c>
      <c r="D13" s="4"/>
      <c r="E13" s="4"/>
      <c r="F13" s="10"/>
    </row>
    <row r="14" customFormat="false" ht="15" hidden="false" customHeight="false" outlineLevel="0" collapsed="false">
      <c r="A14" s="2" t="s">
        <v>47</v>
      </c>
      <c r="B14" s="2" t="s">
        <v>41</v>
      </c>
      <c r="C14" s="14" t="n">
        <v>150</v>
      </c>
      <c r="D14" s="4"/>
      <c r="E14" s="4"/>
      <c r="F14" s="10" t="s">
        <v>48</v>
      </c>
    </row>
    <row r="15" customFormat="false" ht="15" hidden="false" customHeight="false" outlineLevel="0" collapsed="false">
      <c r="A15" s="2" t="s">
        <v>49</v>
      </c>
      <c r="B15" s="2" t="s">
        <v>46</v>
      </c>
      <c r="C15" s="14" t="n">
        <v>50</v>
      </c>
      <c r="D15" s="14" t="n">
        <v>35</v>
      </c>
      <c r="E15" s="14" t="n">
        <v>25</v>
      </c>
      <c r="F15" s="10" t="s">
        <v>50</v>
      </c>
    </row>
    <row r="16" customFormat="false" ht="15" hidden="false" customHeight="false" outlineLevel="0" collapsed="false">
      <c r="A16" s="2" t="s">
        <v>51</v>
      </c>
      <c r="B16" s="2" t="s">
        <v>52</v>
      </c>
      <c r="C16" s="15" t="n">
        <v>0.02</v>
      </c>
      <c r="D16" s="4"/>
      <c r="E16" s="4"/>
      <c r="F16" s="10" t="s">
        <v>53</v>
      </c>
    </row>
    <row r="17" customFormat="false" ht="15" hidden="false" customHeight="false" outlineLevel="0" collapsed="false">
      <c r="A17" s="2" t="s">
        <v>54</v>
      </c>
      <c r="B17" s="2" t="s">
        <v>52</v>
      </c>
      <c r="C17" s="15" t="n">
        <v>0</v>
      </c>
      <c r="D17" s="4"/>
      <c r="E17" s="4"/>
      <c r="F17" s="10" t="s">
        <v>55</v>
      </c>
    </row>
    <row r="18" customFormat="false" ht="15" hidden="false" customHeight="false" outlineLevel="0" collapsed="false">
      <c r="A18" s="7" t="s">
        <v>56</v>
      </c>
      <c r="B18" s="8"/>
      <c r="C18" s="8"/>
      <c r="D18" s="8"/>
      <c r="E18" s="8"/>
      <c r="F18" s="8"/>
    </row>
    <row r="19" customFormat="false" ht="15" hidden="false" customHeight="false" outlineLevel="0" collapsed="false">
      <c r="A19" s="2" t="s">
        <v>57</v>
      </c>
      <c r="B19" s="2" t="s">
        <v>58</v>
      </c>
      <c r="C19" s="16" t="n">
        <v>0.65</v>
      </c>
      <c r="D19" s="16" t="n">
        <v>0.7</v>
      </c>
      <c r="E19" s="16" t="n">
        <v>0.72</v>
      </c>
      <c r="F19" s="10" t="s">
        <v>39</v>
      </c>
    </row>
    <row r="20" customFormat="false" ht="15" hidden="false" customHeight="false" outlineLevel="0" collapsed="false">
      <c r="A20" s="2" t="s">
        <v>59</v>
      </c>
      <c r="B20" s="2" t="s">
        <v>60</v>
      </c>
      <c r="C20" s="12" t="n">
        <v>65</v>
      </c>
      <c r="D20" s="12" t="n">
        <v>68</v>
      </c>
      <c r="E20" s="12" t="n">
        <v>70</v>
      </c>
      <c r="F20" s="10" t="s">
        <v>61</v>
      </c>
    </row>
    <row r="21" customFormat="false" ht="15" hidden="false" customHeight="false" outlineLevel="0" collapsed="false">
      <c r="A21" s="2" t="s">
        <v>62</v>
      </c>
      <c r="B21" s="2" t="s">
        <v>58</v>
      </c>
      <c r="C21" s="16" t="n">
        <v>0.68</v>
      </c>
      <c r="D21" s="4"/>
      <c r="E21" s="4"/>
      <c r="F21" s="10" t="s">
        <v>63</v>
      </c>
    </row>
    <row r="22" customFormat="false" ht="15" hidden="false" customHeight="false" outlineLevel="0" collapsed="false">
      <c r="A22" s="2" t="s">
        <v>64</v>
      </c>
      <c r="B22" s="2" t="s">
        <v>65</v>
      </c>
      <c r="C22" s="15" t="n">
        <v>0.02</v>
      </c>
      <c r="D22" s="4"/>
      <c r="E22" s="4"/>
      <c r="F22" s="10"/>
    </row>
    <row r="23" customFormat="false" ht="15" hidden="false" customHeight="false" outlineLevel="0" collapsed="false">
      <c r="A23" s="2" t="s">
        <v>66</v>
      </c>
      <c r="B23" s="2" t="s">
        <v>58</v>
      </c>
      <c r="C23" s="15" t="n">
        <v>0.9</v>
      </c>
      <c r="D23" s="4"/>
      <c r="E23" s="4"/>
      <c r="F23" s="10" t="s">
        <v>67</v>
      </c>
    </row>
    <row r="24" customFormat="false" ht="15" hidden="false" customHeight="false" outlineLevel="0" collapsed="false">
      <c r="A24" s="7" t="s">
        <v>68</v>
      </c>
      <c r="B24" s="8"/>
      <c r="C24" s="8"/>
      <c r="D24" s="8"/>
      <c r="E24" s="8"/>
      <c r="F24" s="8"/>
    </row>
    <row r="25" customFormat="false" ht="15" hidden="false" customHeight="false" outlineLevel="0" collapsed="false">
      <c r="A25" s="2" t="s">
        <v>69</v>
      </c>
      <c r="B25" s="2" t="s">
        <v>70</v>
      </c>
      <c r="C25" s="15" t="n">
        <v>0.032</v>
      </c>
      <c r="D25" s="4"/>
      <c r="E25" s="4"/>
      <c r="F25" s="10" t="s">
        <v>71</v>
      </c>
    </row>
    <row r="26" customFormat="false" ht="15" hidden="false" customHeight="false" outlineLevel="0" collapsed="false">
      <c r="A26" s="2" t="s">
        <v>72</v>
      </c>
      <c r="B26" s="2" t="s">
        <v>73</v>
      </c>
      <c r="C26" s="15" t="n">
        <v>0.015</v>
      </c>
      <c r="D26" s="4"/>
      <c r="E26" s="4"/>
      <c r="F26" s="10"/>
    </row>
    <row r="27" customFormat="false" ht="15" hidden="false" customHeight="false" outlineLevel="0" collapsed="false">
      <c r="A27" s="2" t="s">
        <v>74</v>
      </c>
      <c r="B27" s="2" t="s">
        <v>75</v>
      </c>
      <c r="C27" s="17" t="n">
        <v>50</v>
      </c>
      <c r="D27" s="4"/>
      <c r="E27" s="4"/>
      <c r="F27" s="10" t="s">
        <v>76</v>
      </c>
    </row>
    <row r="28" customFormat="false" ht="15" hidden="false" customHeight="false" outlineLevel="0" collapsed="false">
      <c r="A28" s="2" t="s">
        <v>77</v>
      </c>
      <c r="B28" s="2" t="s">
        <v>58</v>
      </c>
      <c r="C28" s="15" t="n">
        <v>0.25</v>
      </c>
      <c r="D28" s="4"/>
      <c r="E28" s="4"/>
      <c r="F28" s="10"/>
    </row>
    <row r="29" customFormat="false" ht="15" hidden="false" customHeight="false" outlineLevel="0" collapsed="false">
      <c r="A29" s="2" t="s">
        <v>78</v>
      </c>
      <c r="B29" s="2" t="s">
        <v>75</v>
      </c>
      <c r="C29" s="18" t="n">
        <v>3</v>
      </c>
      <c r="D29" s="4"/>
      <c r="E29" s="4"/>
      <c r="F29" s="10" t="s">
        <v>79</v>
      </c>
    </row>
    <row r="30" customFormat="false" ht="15" hidden="false" customHeight="false" outlineLevel="0" collapsed="false">
      <c r="A30" s="2" t="s">
        <v>80</v>
      </c>
      <c r="B30" s="2" t="s">
        <v>60</v>
      </c>
      <c r="C30" s="18" t="n">
        <v>0.15</v>
      </c>
      <c r="D30" s="4"/>
      <c r="E30" s="4"/>
      <c r="F30" s="10" t="s">
        <v>81</v>
      </c>
    </row>
    <row r="31" customFormat="false" ht="15" hidden="false" customHeight="false" outlineLevel="0" collapsed="false">
      <c r="A31" s="7" t="s">
        <v>82</v>
      </c>
      <c r="B31" s="8"/>
      <c r="C31" s="8"/>
      <c r="D31" s="8"/>
      <c r="E31" s="8"/>
      <c r="F31" s="8"/>
    </row>
    <row r="32" customFormat="false" ht="15" hidden="false" customHeight="false" outlineLevel="0" collapsed="false">
      <c r="A32" s="2" t="s">
        <v>83</v>
      </c>
      <c r="B32" s="2" t="s">
        <v>60</v>
      </c>
      <c r="C32" s="12" t="n">
        <v>3600</v>
      </c>
      <c r="D32" s="4"/>
      <c r="E32" s="4"/>
      <c r="F32" s="10" t="s">
        <v>84</v>
      </c>
    </row>
    <row r="33" customFormat="false" ht="15" hidden="false" customHeight="false" outlineLevel="0" collapsed="false">
      <c r="A33" s="2" t="s">
        <v>85</v>
      </c>
      <c r="B33" s="2" t="s">
        <v>86</v>
      </c>
      <c r="C33" s="15" t="n">
        <v>0.03</v>
      </c>
      <c r="D33" s="4"/>
      <c r="E33" s="4"/>
      <c r="F33" s="10"/>
    </row>
    <row r="34" customFormat="false" ht="15" hidden="false" customHeight="false" outlineLevel="0" collapsed="false">
      <c r="A34" s="2" t="s">
        <v>87</v>
      </c>
      <c r="B34" s="2" t="s">
        <v>60</v>
      </c>
      <c r="C34" s="17" t="n">
        <v>900</v>
      </c>
      <c r="D34" s="4"/>
      <c r="E34" s="4"/>
      <c r="F34" s="10" t="s">
        <v>88</v>
      </c>
    </row>
    <row r="35" customFormat="false" ht="15" hidden="false" customHeight="false" outlineLevel="0" collapsed="false">
      <c r="A35" s="2" t="s">
        <v>89</v>
      </c>
      <c r="B35" s="2" t="s">
        <v>36</v>
      </c>
      <c r="C35" s="12" t="n">
        <v>55000</v>
      </c>
      <c r="D35" s="4"/>
      <c r="E35" s="4"/>
      <c r="F35" s="10" t="s">
        <v>39</v>
      </c>
    </row>
    <row r="36" customFormat="false" ht="15" hidden="false" customHeight="false" outlineLevel="0" collapsed="false">
      <c r="A36" s="2" t="s">
        <v>90</v>
      </c>
      <c r="B36" s="2" t="s">
        <v>91</v>
      </c>
      <c r="C36" s="13" t="n">
        <v>1</v>
      </c>
      <c r="D36" s="13" t="n">
        <v>2</v>
      </c>
      <c r="E36" s="13" t="n">
        <v>2</v>
      </c>
      <c r="F36" s="10" t="s">
        <v>92</v>
      </c>
    </row>
    <row r="37" customFormat="false" ht="15" hidden="false" customHeight="false" outlineLevel="0" collapsed="false">
      <c r="A37" s="2" t="s">
        <v>93</v>
      </c>
      <c r="B37" s="2" t="s">
        <v>94</v>
      </c>
      <c r="C37" s="13" t="n">
        <v>20</v>
      </c>
      <c r="D37" s="4"/>
      <c r="E37" s="4"/>
      <c r="F37" s="10"/>
    </row>
    <row r="38" customFormat="false" ht="15" hidden="false" customHeight="false" outlineLevel="0" collapsed="false">
      <c r="A38" s="2" t="s">
        <v>95</v>
      </c>
      <c r="B38" s="2" t="s">
        <v>96</v>
      </c>
      <c r="C38" s="18" t="n">
        <v>20</v>
      </c>
      <c r="D38" s="4"/>
      <c r="E38" s="4"/>
      <c r="F38" s="10"/>
    </row>
    <row r="39" customFormat="false" ht="15" hidden="false" customHeight="false" outlineLevel="0" collapsed="false">
      <c r="A39" s="2" t="s">
        <v>97</v>
      </c>
      <c r="B39" s="2" t="s">
        <v>98</v>
      </c>
      <c r="C39" s="15" t="n">
        <v>0.12</v>
      </c>
      <c r="D39" s="4"/>
      <c r="E39" s="4"/>
      <c r="F39" s="10"/>
    </row>
    <row r="40" customFormat="false" ht="15" hidden="false" customHeight="false" outlineLevel="0" collapsed="false">
      <c r="A40" s="2" t="s">
        <v>99</v>
      </c>
      <c r="B40" s="2" t="s">
        <v>60</v>
      </c>
      <c r="C40" s="17" t="n">
        <v>650</v>
      </c>
      <c r="D40" s="4"/>
      <c r="E40" s="4"/>
      <c r="F40" s="10" t="s">
        <v>100</v>
      </c>
    </row>
    <row r="41" customFormat="false" ht="15" hidden="false" customHeight="false" outlineLevel="0" collapsed="false">
      <c r="A41" s="2" t="s">
        <v>101</v>
      </c>
      <c r="B41" s="2" t="s">
        <v>60</v>
      </c>
      <c r="C41" s="17" t="n">
        <v>150</v>
      </c>
      <c r="D41" s="4"/>
      <c r="E41" s="4"/>
      <c r="F41" s="10" t="s">
        <v>102</v>
      </c>
    </row>
    <row r="42" customFormat="false" ht="15" hidden="false" customHeight="false" outlineLevel="0" collapsed="false">
      <c r="A42" s="2" t="s">
        <v>103</v>
      </c>
      <c r="B42" s="2" t="s">
        <v>60</v>
      </c>
      <c r="C42" s="17" t="n">
        <v>200</v>
      </c>
      <c r="D42" s="4"/>
      <c r="E42" s="4"/>
      <c r="F42" s="10"/>
    </row>
    <row r="43" customFormat="false" ht="15" hidden="false" customHeight="false" outlineLevel="0" collapsed="false">
      <c r="A43" s="2" t="s">
        <v>104</v>
      </c>
      <c r="B43" s="2" t="s">
        <v>60</v>
      </c>
      <c r="C43" s="17" t="n">
        <v>1500</v>
      </c>
      <c r="D43" s="17" t="n">
        <v>1200</v>
      </c>
      <c r="E43" s="17" t="n">
        <v>1000</v>
      </c>
      <c r="F43" s="10"/>
    </row>
    <row r="44" customFormat="false" ht="15" hidden="false" customHeight="false" outlineLevel="0" collapsed="false">
      <c r="A44" s="2" t="s">
        <v>105</v>
      </c>
      <c r="B44" s="2" t="s">
        <v>60</v>
      </c>
      <c r="C44" s="17" t="n">
        <v>1000</v>
      </c>
      <c r="D44" s="17" t="n">
        <v>600</v>
      </c>
      <c r="E44" s="17" t="n">
        <v>600</v>
      </c>
      <c r="F44" s="10"/>
    </row>
    <row r="45" customFormat="false" ht="15" hidden="false" customHeight="false" outlineLevel="0" collapsed="false">
      <c r="A45" s="2" t="s">
        <v>106</v>
      </c>
      <c r="B45" s="2" t="s">
        <v>60</v>
      </c>
      <c r="C45" s="17" t="n">
        <v>300</v>
      </c>
      <c r="D45" s="4"/>
      <c r="E45" s="4"/>
      <c r="F45" s="10"/>
    </row>
    <row r="46" customFormat="false" ht="15" hidden="false" customHeight="false" outlineLevel="0" collapsed="false">
      <c r="A46" s="7" t="s">
        <v>107</v>
      </c>
      <c r="B46" s="8"/>
      <c r="C46" s="8"/>
      <c r="D46" s="8"/>
      <c r="E46" s="8"/>
      <c r="F46" s="8"/>
    </row>
    <row r="47" customFormat="false" ht="15" hidden="false" customHeight="false" outlineLevel="0" collapsed="false">
      <c r="A47" s="2" t="s">
        <v>108</v>
      </c>
      <c r="B47" s="2" t="s">
        <v>109</v>
      </c>
      <c r="C47" s="11" t="n">
        <v>7</v>
      </c>
      <c r="D47" s="4"/>
      <c r="E47" s="4"/>
      <c r="F47" s="10" t="s">
        <v>110</v>
      </c>
    </row>
    <row r="48" customFormat="false" ht="15" hidden="false" customHeight="false" outlineLevel="0" collapsed="false">
      <c r="A48" s="2" t="s">
        <v>111</v>
      </c>
      <c r="B48" s="2" t="s">
        <v>75</v>
      </c>
      <c r="C48" s="12" t="n">
        <v>100000</v>
      </c>
      <c r="D48" s="4"/>
      <c r="E48" s="4"/>
      <c r="F48" s="10" t="s">
        <v>112</v>
      </c>
    </row>
    <row r="49" customFormat="false" ht="15" hidden="false" customHeight="false" outlineLevel="0" collapsed="false">
      <c r="A49" s="2" t="s">
        <v>113</v>
      </c>
      <c r="B49" s="2" t="s">
        <v>86</v>
      </c>
      <c r="C49" s="15" t="n">
        <v>0.11</v>
      </c>
      <c r="D49" s="4"/>
      <c r="E49" s="4"/>
      <c r="F49" s="10" t="s">
        <v>114</v>
      </c>
    </row>
    <row r="50" customFormat="false" ht="15" hidden="false" customHeight="false" outlineLevel="0" collapsed="false">
      <c r="A50" s="2" t="s">
        <v>115</v>
      </c>
      <c r="B50" s="2" t="s">
        <v>109</v>
      </c>
      <c r="C50" s="11" t="n">
        <v>10</v>
      </c>
      <c r="D50" s="4"/>
      <c r="E50" s="4"/>
      <c r="F50" s="10"/>
    </row>
    <row r="51" customFormat="false" ht="15" hidden="false" customHeight="false" outlineLevel="0" collapsed="false">
      <c r="A51" s="2" t="s">
        <v>116</v>
      </c>
      <c r="B51" s="2" t="s">
        <v>117</v>
      </c>
      <c r="C51" s="11" t="n">
        <v>2</v>
      </c>
      <c r="D51" s="4"/>
      <c r="E51" s="4"/>
      <c r="F51" s="1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119</v>
      </c>
      <c r="B1" s="4"/>
      <c r="C1" s="4"/>
      <c r="D1" s="4"/>
    </row>
    <row r="2" customFormat="false" ht="15" hidden="false" customHeight="false" outlineLevel="0" collapsed="false">
      <c r="A2" s="5" t="s">
        <v>120</v>
      </c>
      <c r="B2" s="4"/>
      <c r="C2" s="4"/>
      <c r="D2" s="4"/>
    </row>
    <row r="3" customFormat="false" ht="15" hidden="false" customHeight="false" outlineLevel="0" collapsed="false">
      <c r="A3" s="4"/>
      <c r="B3" s="4"/>
      <c r="C3" s="4"/>
      <c r="D3" s="4"/>
    </row>
    <row r="4" customFormat="false" ht="15" hidden="false" customHeight="false" outlineLevel="0" collapsed="false">
      <c r="A4" s="6" t="s">
        <v>121</v>
      </c>
      <c r="B4" s="6" t="s">
        <v>122</v>
      </c>
      <c r="C4" s="6" t="s">
        <v>123</v>
      </c>
      <c r="D4" s="6" t="s">
        <v>124</v>
      </c>
    </row>
    <row r="5" customFormat="false" ht="15" hidden="false" customHeight="false" outlineLevel="0" collapsed="false">
      <c r="A5" s="2" t="s">
        <v>125</v>
      </c>
      <c r="B5" s="19" t="s">
        <v>126</v>
      </c>
      <c r="C5" s="17" t="n">
        <v>12000</v>
      </c>
      <c r="D5" s="10" t="s">
        <v>127</v>
      </c>
    </row>
    <row r="6" customFormat="false" ht="15" hidden="false" customHeight="false" outlineLevel="0" collapsed="false">
      <c r="A6" s="2" t="s">
        <v>128</v>
      </c>
      <c r="B6" s="19" t="s">
        <v>126</v>
      </c>
      <c r="C6" s="17" t="n">
        <v>2500</v>
      </c>
      <c r="D6" s="10" t="s">
        <v>129</v>
      </c>
    </row>
    <row r="7" customFormat="false" ht="15" hidden="false" customHeight="false" outlineLevel="0" collapsed="false">
      <c r="A7" s="2" t="s">
        <v>130</v>
      </c>
      <c r="B7" s="19" t="s">
        <v>126</v>
      </c>
      <c r="C7" s="20" t="n">
        <f aca="false">2*Assumptions!$C$32</f>
        <v>7200</v>
      </c>
      <c r="D7" s="10" t="s">
        <v>131</v>
      </c>
    </row>
    <row r="8" customFormat="false" ht="15" hidden="false" customHeight="false" outlineLevel="0" collapsed="false">
      <c r="A8" s="2" t="s">
        <v>132</v>
      </c>
      <c r="B8" s="19" t="s">
        <v>126</v>
      </c>
      <c r="C8" s="20" t="n">
        <f aca="false">3*Assumptions!$C$32</f>
        <v>10800</v>
      </c>
      <c r="D8" s="10" t="s">
        <v>131</v>
      </c>
    </row>
    <row r="9" customFormat="false" ht="15" hidden="false" customHeight="false" outlineLevel="0" collapsed="false">
      <c r="A9" s="2" t="s">
        <v>133</v>
      </c>
      <c r="B9" s="19" t="s">
        <v>134</v>
      </c>
      <c r="C9" s="17" t="n">
        <v>20000</v>
      </c>
      <c r="D9" s="10" t="s">
        <v>39</v>
      </c>
    </row>
    <row r="10" customFormat="false" ht="15" hidden="false" customHeight="false" outlineLevel="0" collapsed="false">
      <c r="A10" s="2" t="s">
        <v>135</v>
      </c>
      <c r="B10" s="19" t="s">
        <v>134</v>
      </c>
      <c r="C10" s="17" t="n">
        <v>18000</v>
      </c>
      <c r="D10" s="10" t="s">
        <v>136</v>
      </c>
    </row>
    <row r="11" customFormat="false" ht="15" hidden="false" customHeight="false" outlineLevel="0" collapsed="false">
      <c r="A11" s="2" t="s">
        <v>137</v>
      </c>
      <c r="B11" s="19" t="s">
        <v>134</v>
      </c>
      <c r="C11" s="17" t="n">
        <v>6000</v>
      </c>
      <c r="D11" s="10"/>
    </row>
    <row r="12" customFormat="false" ht="15" hidden="false" customHeight="false" outlineLevel="0" collapsed="false">
      <c r="A12" s="2" t="s">
        <v>138</v>
      </c>
      <c r="B12" s="19" t="s">
        <v>134</v>
      </c>
      <c r="C12" s="17" t="n">
        <v>3000</v>
      </c>
      <c r="D12" s="10"/>
    </row>
    <row r="13" customFormat="false" ht="15" hidden="false" customHeight="false" outlineLevel="0" collapsed="false">
      <c r="A13" s="2" t="s">
        <v>139</v>
      </c>
      <c r="B13" s="19" t="s">
        <v>126</v>
      </c>
      <c r="C13" s="17" t="n">
        <v>3000</v>
      </c>
      <c r="D13" s="10"/>
    </row>
    <row r="14" customFormat="false" ht="15" hidden="false" customHeight="false" outlineLevel="0" collapsed="false">
      <c r="A14" s="2" t="s">
        <v>140</v>
      </c>
      <c r="B14" s="19" t="s">
        <v>126</v>
      </c>
      <c r="C14" s="17" t="n">
        <v>2000</v>
      </c>
      <c r="D14" s="10"/>
    </row>
    <row r="15" customFormat="false" ht="15" hidden="false" customHeight="false" outlineLevel="0" collapsed="false">
      <c r="A15" s="2" t="s">
        <v>141</v>
      </c>
      <c r="B15" s="19" t="s">
        <v>126</v>
      </c>
      <c r="C15" s="17" t="n">
        <v>1500</v>
      </c>
      <c r="D15" s="10"/>
    </row>
    <row r="16" customFormat="false" ht="15" hidden="false" customHeight="false" outlineLevel="0" collapsed="false">
      <c r="A16" s="2" t="s">
        <v>142</v>
      </c>
      <c r="B16" s="19" t="s">
        <v>126</v>
      </c>
      <c r="C16" s="17" t="n">
        <v>5000</v>
      </c>
      <c r="D16" s="10" t="s">
        <v>143</v>
      </c>
    </row>
    <row r="17" customFormat="false" ht="15" hidden="false" customHeight="false" outlineLevel="0" collapsed="false">
      <c r="A17" s="2" t="s">
        <v>144</v>
      </c>
      <c r="B17" s="4"/>
      <c r="C17" s="20" t="n">
        <f aca="false">0.1*SUM(C5:C16)</f>
        <v>9100</v>
      </c>
      <c r="D17" s="4"/>
    </row>
    <row r="18" customFormat="false" ht="15" hidden="false" customHeight="false" outlineLevel="0" collapsed="false">
      <c r="A18" s="2" t="s">
        <v>145</v>
      </c>
      <c r="B18" s="4"/>
      <c r="C18" s="21" t="n">
        <f aca="false">MAX(0,-MIN('Monthly P&amp;L'!$C$48:$AL$48))</f>
        <v>93229.0871247492</v>
      </c>
      <c r="D18" s="4"/>
    </row>
    <row r="19" customFormat="false" ht="15" hidden="false" customHeight="false" outlineLevel="0" collapsed="false">
      <c r="A19" s="2" t="s">
        <v>146</v>
      </c>
      <c r="B19" s="4"/>
      <c r="C19" s="21" t="n">
        <f aca="false">Assumptions!$C$51*('Monthly P&amp;L'!$C$25+'Monthly P&amp;L'!$C$26+'Monthly P&amp;L'!$C$27+'Monthly P&amp;L'!$C$28+'Monthly P&amp;L'!$C$29+'Monthly P&amp;L'!$C$32+'Monthly P&amp;L'!$C$33+'Monthly P&amp;L'!$C$36+Assumptions!$C$42)</f>
        <v>30749.3333333333</v>
      </c>
      <c r="D19" s="4"/>
    </row>
    <row r="20" customFormat="false" ht="15" hidden="false" customHeight="false" outlineLevel="0" collapsed="false">
      <c r="A20" s="3" t="s">
        <v>147</v>
      </c>
      <c r="B20" s="4"/>
      <c r="C20" s="22" t="n">
        <f aca="false">SUM(C5:C19)</f>
        <v>224078.420458083</v>
      </c>
      <c r="D20" s="4"/>
    </row>
    <row r="21" customFormat="false" ht="15" hidden="false" customHeight="false" outlineLevel="0" collapsed="false">
      <c r="A21" s="4"/>
      <c r="B21" s="4"/>
      <c r="C21" s="4"/>
      <c r="D21" s="4"/>
    </row>
    <row r="22" customFormat="false" ht="15" hidden="false" customHeight="false" outlineLevel="0" collapsed="false">
      <c r="A22" s="2" t="s">
        <v>148</v>
      </c>
      <c r="B22" s="4"/>
      <c r="C22" s="23" t="n">
        <f aca="false">SUMIF(B5:B16,"Y",C5:C16)</f>
        <v>47000</v>
      </c>
      <c r="D22" s="4"/>
    </row>
    <row r="23" customFormat="false" ht="15" hidden="false" customHeight="false" outlineLevel="0" collapsed="false">
      <c r="A23" s="4"/>
      <c r="B23" s="4"/>
      <c r="C23" s="4"/>
      <c r="D23" s="4"/>
    </row>
    <row r="24" customFormat="false" ht="15" hidden="false" customHeight="false" outlineLevel="0" collapsed="false">
      <c r="A24" s="3" t="s">
        <v>149</v>
      </c>
      <c r="B24" s="4"/>
      <c r="C24" s="4"/>
      <c r="D24" s="4"/>
    </row>
    <row r="25" customFormat="false" ht="15" hidden="false" customHeight="false" outlineLevel="0" collapsed="false">
      <c r="A25" s="2" t="s">
        <v>111</v>
      </c>
      <c r="B25" s="4"/>
      <c r="C25" s="21" t="n">
        <f aca="false">Assumptions!$C$48</f>
        <v>100000</v>
      </c>
      <c r="D25" s="4"/>
    </row>
    <row r="26" customFormat="false" ht="15" hidden="false" customHeight="false" outlineLevel="0" collapsed="false">
      <c r="A26" s="2" t="s">
        <v>150</v>
      </c>
      <c r="B26" s="4"/>
      <c r="C26" s="24" t="n">
        <f aca="false">MAX(0,C20-C25)</f>
        <v>124078.420458083</v>
      </c>
      <c r="D26" s="4"/>
    </row>
    <row r="27" customFormat="false" ht="15" hidden="false" customHeight="false" outlineLevel="0" collapsed="false">
      <c r="A27" s="3" t="s">
        <v>151</v>
      </c>
      <c r="B27" s="4"/>
      <c r="C27" s="25" t="n">
        <f aca="false">C25+C26</f>
        <v>224078.420458083</v>
      </c>
      <c r="D27" s="4"/>
    </row>
    <row r="28" customFormat="false" ht="15" hidden="false" customHeight="false" outlineLevel="0" collapsed="false">
      <c r="A28" s="4"/>
      <c r="B28" s="4"/>
      <c r="C28" s="4"/>
      <c r="D28" s="4"/>
    </row>
    <row r="29" customFormat="false" ht="15" hidden="false" customHeight="false" outlineLevel="0" collapsed="false">
      <c r="A29" s="2" t="s">
        <v>152</v>
      </c>
      <c r="B29" s="4"/>
      <c r="C29" s="23" t="n">
        <f aca="false">C27-SUM(C5:C17)</f>
        <v>123978.420458083</v>
      </c>
      <c r="D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1" t="s">
        <v>153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false" outlineLevel="0" collapsed="false">
      <c r="A2" s="5" t="s">
        <v>154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customFormat="false" ht="15" hidden="false" customHeight="false" outlineLevel="0" collapsed="false">
      <c r="A4" s="3" t="s">
        <v>155</v>
      </c>
      <c r="B4" s="4"/>
      <c r="C4" s="26" t="n">
        <f aca="false">1</f>
        <v>1</v>
      </c>
      <c r="D4" s="26" t="n">
        <f aca="false">2</f>
        <v>2</v>
      </c>
      <c r="E4" s="26" t="n">
        <f aca="false">3</f>
        <v>3</v>
      </c>
      <c r="F4" s="26" t="n">
        <f aca="false">4</f>
        <v>4</v>
      </c>
      <c r="G4" s="26" t="n">
        <f aca="false">5</f>
        <v>5</v>
      </c>
      <c r="H4" s="26" t="n">
        <f aca="false">6</f>
        <v>6</v>
      </c>
      <c r="I4" s="26" t="n">
        <f aca="false">7</f>
        <v>7</v>
      </c>
      <c r="J4" s="26" t="n">
        <f aca="false">8</f>
        <v>8</v>
      </c>
      <c r="K4" s="26" t="n">
        <f aca="false">9</f>
        <v>9</v>
      </c>
      <c r="L4" s="26" t="n">
        <f aca="false">10</f>
        <v>10</v>
      </c>
      <c r="M4" s="26" t="n">
        <f aca="false">11</f>
        <v>11</v>
      </c>
      <c r="N4" s="26" t="n">
        <f aca="false">12</f>
        <v>12</v>
      </c>
      <c r="O4" s="26" t="n">
        <f aca="false">13</f>
        <v>13</v>
      </c>
      <c r="P4" s="26" t="n">
        <f aca="false">14</f>
        <v>14</v>
      </c>
      <c r="Q4" s="26" t="n">
        <f aca="false">15</f>
        <v>15</v>
      </c>
      <c r="R4" s="26" t="n">
        <f aca="false">16</f>
        <v>16</v>
      </c>
      <c r="S4" s="26" t="n">
        <f aca="false">17</f>
        <v>17</v>
      </c>
      <c r="T4" s="26" t="n">
        <f aca="false">18</f>
        <v>18</v>
      </c>
      <c r="U4" s="26" t="n">
        <f aca="false">19</f>
        <v>19</v>
      </c>
      <c r="V4" s="26" t="n">
        <f aca="false">20</f>
        <v>20</v>
      </c>
      <c r="W4" s="26" t="n">
        <f aca="false">21</f>
        <v>21</v>
      </c>
      <c r="X4" s="26" t="n">
        <f aca="false">22</f>
        <v>22</v>
      </c>
      <c r="Y4" s="26" t="n">
        <f aca="false">23</f>
        <v>23</v>
      </c>
      <c r="Z4" s="26" t="n">
        <f aca="false">24</f>
        <v>24</v>
      </c>
      <c r="AA4" s="26" t="n">
        <f aca="false">25</f>
        <v>25</v>
      </c>
      <c r="AB4" s="26" t="n">
        <f aca="false">26</f>
        <v>26</v>
      </c>
      <c r="AC4" s="26" t="n">
        <f aca="false">27</f>
        <v>27</v>
      </c>
      <c r="AD4" s="26" t="n">
        <f aca="false">28</f>
        <v>28</v>
      </c>
      <c r="AE4" s="26" t="n">
        <f aca="false">29</f>
        <v>29</v>
      </c>
      <c r="AF4" s="26" t="n">
        <f aca="false">30</f>
        <v>30</v>
      </c>
      <c r="AG4" s="26" t="n">
        <f aca="false">31</f>
        <v>31</v>
      </c>
      <c r="AH4" s="26" t="n">
        <f aca="false">32</f>
        <v>32</v>
      </c>
      <c r="AI4" s="26" t="n">
        <f aca="false">33</f>
        <v>33</v>
      </c>
      <c r="AJ4" s="26" t="n">
        <f aca="false">34</f>
        <v>34</v>
      </c>
      <c r="AK4" s="26" t="n">
        <f aca="false">35</f>
        <v>35</v>
      </c>
      <c r="AL4" s="26" t="n">
        <f aca="false">36</f>
        <v>36</v>
      </c>
    </row>
    <row r="5" customFormat="false" ht="15" hidden="false" customHeight="false" outlineLevel="0" collapsed="false">
      <c r="A5" s="3" t="s">
        <v>156</v>
      </c>
      <c r="B5" s="4"/>
      <c r="C5" s="27" t="n">
        <f aca="false">EDATE(Assumptions!$C$6,C4-1)</f>
        <v>46478</v>
      </c>
      <c r="D5" s="27" t="n">
        <f aca="false">EDATE(Assumptions!$C$6,D4-1)</f>
        <v>46508</v>
      </c>
      <c r="E5" s="27" t="n">
        <f aca="false">EDATE(Assumptions!$C$6,E4-1)</f>
        <v>46539</v>
      </c>
      <c r="F5" s="27" t="n">
        <f aca="false">EDATE(Assumptions!$C$6,F4-1)</f>
        <v>46569</v>
      </c>
      <c r="G5" s="27" t="n">
        <f aca="false">EDATE(Assumptions!$C$6,G4-1)</f>
        <v>46600</v>
      </c>
      <c r="H5" s="27" t="n">
        <f aca="false">EDATE(Assumptions!$C$6,H4-1)</f>
        <v>46631</v>
      </c>
      <c r="I5" s="27" t="n">
        <f aca="false">EDATE(Assumptions!$C$6,I4-1)</f>
        <v>46661</v>
      </c>
      <c r="J5" s="27" t="n">
        <f aca="false">EDATE(Assumptions!$C$6,J4-1)</f>
        <v>46692</v>
      </c>
      <c r="K5" s="27" t="n">
        <f aca="false">EDATE(Assumptions!$C$6,K4-1)</f>
        <v>46722</v>
      </c>
      <c r="L5" s="27" t="n">
        <f aca="false">EDATE(Assumptions!$C$6,L4-1)</f>
        <v>46753</v>
      </c>
      <c r="M5" s="27" t="n">
        <f aca="false">EDATE(Assumptions!$C$6,M4-1)</f>
        <v>46784</v>
      </c>
      <c r="N5" s="27" t="n">
        <f aca="false">EDATE(Assumptions!$C$6,N4-1)</f>
        <v>46813</v>
      </c>
      <c r="O5" s="27" t="n">
        <f aca="false">EDATE(Assumptions!$C$6,O4-1)</f>
        <v>46844</v>
      </c>
      <c r="P5" s="27" t="n">
        <f aca="false">EDATE(Assumptions!$C$6,P4-1)</f>
        <v>46874</v>
      </c>
      <c r="Q5" s="27" t="n">
        <f aca="false">EDATE(Assumptions!$C$6,Q4-1)</f>
        <v>46905</v>
      </c>
      <c r="R5" s="27" t="n">
        <f aca="false">EDATE(Assumptions!$C$6,R4-1)</f>
        <v>46935</v>
      </c>
      <c r="S5" s="27" t="n">
        <f aca="false">EDATE(Assumptions!$C$6,S4-1)</f>
        <v>46966</v>
      </c>
      <c r="T5" s="27" t="n">
        <f aca="false">EDATE(Assumptions!$C$6,T4-1)</f>
        <v>46997</v>
      </c>
      <c r="U5" s="27" t="n">
        <f aca="false">EDATE(Assumptions!$C$6,U4-1)</f>
        <v>47027</v>
      </c>
      <c r="V5" s="27" t="n">
        <f aca="false">EDATE(Assumptions!$C$6,V4-1)</f>
        <v>47058</v>
      </c>
      <c r="W5" s="27" t="n">
        <f aca="false">EDATE(Assumptions!$C$6,W4-1)</f>
        <v>47088</v>
      </c>
      <c r="X5" s="27" t="n">
        <f aca="false">EDATE(Assumptions!$C$6,X4-1)</f>
        <v>47119</v>
      </c>
      <c r="Y5" s="27" t="n">
        <f aca="false">EDATE(Assumptions!$C$6,Y4-1)</f>
        <v>47150</v>
      </c>
      <c r="Z5" s="27" t="n">
        <f aca="false">EDATE(Assumptions!$C$6,Z4-1)</f>
        <v>47178</v>
      </c>
      <c r="AA5" s="27" t="n">
        <f aca="false">EDATE(Assumptions!$C$6,AA4-1)</f>
        <v>47209</v>
      </c>
      <c r="AB5" s="27" t="n">
        <f aca="false">EDATE(Assumptions!$C$6,AB4-1)</f>
        <v>47239</v>
      </c>
      <c r="AC5" s="27" t="n">
        <f aca="false">EDATE(Assumptions!$C$6,AC4-1)</f>
        <v>47270</v>
      </c>
      <c r="AD5" s="27" t="n">
        <f aca="false">EDATE(Assumptions!$C$6,AD4-1)</f>
        <v>47300</v>
      </c>
      <c r="AE5" s="27" t="n">
        <f aca="false">EDATE(Assumptions!$C$6,AE4-1)</f>
        <v>47331</v>
      </c>
      <c r="AF5" s="27" t="n">
        <f aca="false">EDATE(Assumptions!$C$6,AF4-1)</f>
        <v>47362</v>
      </c>
      <c r="AG5" s="27" t="n">
        <f aca="false">EDATE(Assumptions!$C$6,AG4-1)</f>
        <v>47392</v>
      </c>
      <c r="AH5" s="27" t="n">
        <f aca="false">EDATE(Assumptions!$C$6,AH4-1)</f>
        <v>47423</v>
      </c>
      <c r="AI5" s="27" t="n">
        <f aca="false">EDATE(Assumptions!$C$6,AI4-1)</f>
        <v>47453</v>
      </c>
      <c r="AJ5" s="27" t="n">
        <f aca="false">EDATE(Assumptions!$C$6,AJ4-1)</f>
        <v>47484</v>
      </c>
      <c r="AK5" s="27" t="n">
        <f aca="false">EDATE(Assumptions!$C$6,AK4-1)</f>
        <v>47515</v>
      </c>
      <c r="AL5" s="27" t="n">
        <f aca="false">EDATE(Assumptions!$C$6,AL4-1)</f>
        <v>47543</v>
      </c>
    </row>
    <row r="6" customFormat="false" ht="15" hidden="false" customHeight="false" outlineLevel="0" collapsed="false">
      <c r="A6" s="2" t="s">
        <v>157</v>
      </c>
      <c r="B6" s="4"/>
      <c r="C6" s="28" t="n">
        <f aca="false">INT((C4-1)/12)+1</f>
        <v>1</v>
      </c>
      <c r="D6" s="28" t="n">
        <f aca="false">INT((D4-1)/12)+1</f>
        <v>1</v>
      </c>
      <c r="E6" s="28" t="n">
        <f aca="false">INT((E4-1)/12)+1</f>
        <v>1</v>
      </c>
      <c r="F6" s="28" t="n">
        <f aca="false">INT((F4-1)/12)+1</f>
        <v>1</v>
      </c>
      <c r="G6" s="28" t="n">
        <f aca="false">INT((G4-1)/12)+1</f>
        <v>1</v>
      </c>
      <c r="H6" s="28" t="n">
        <f aca="false">INT((H4-1)/12)+1</f>
        <v>1</v>
      </c>
      <c r="I6" s="28" t="n">
        <f aca="false">INT((I4-1)/12)+1</f>
        <v>1</v>
      </c>
      <c r="J6" s="28" t="n">
        <f aca="false">INT((J4-1)/12)+1</f>
        <v>1</v>
      </c>
      <c r="K6" s="28" t="n">
        <f aca="false">INT((K4-1)/12)+1</f>
        <v>1</v>
      </c>
      <c r="L6" s="28" t="n">
        <f aca="false">INT((L4-1)/12)+1</f>
        <v>1</v>
      </c>
      <c r="M6" s="28" t="n">
        <f aca="false">INT((M4-1)/12)+1</f>
        <v>1</v>
      </c>
      <c r="N6" s="28" t="n">
        <f aca="false">INT((N4-1)/12)+1</f>
        <v>1</v>
      </c>
      <c r="O6" s="28" t="n">
        <f aca="false">INT((O4-1)/12)+1</f>
        <v>2</v>
      </c>
      <c r="P6" s="28" t="n">
        <f aca="false">INT((P4-1)/12)+1</f>
        <v>2</v>
      </c>
      <c r="Q6" s="28" t="n">
        <f aca="false">INT((Q4-1)/12)+1</f>
        <v>2</v>
      </c>
      <c r="R6" s="28" t="n">
        <f aca="false">INT((R4-1)/12)+1</f>
        <v>2</v>
      </c>
      <c r="S6" s="28" t="n">
        <f aca="false">INT((S4-1)/12)+1</f>
        <v>2</v>
      </c>
      <c r="T6" s="28" t="n">
        <f aca="false">INT((T4-1)/12)+1</f>
        <v>2</v>
      </c>
      <c r="U6" s="28" t="n">
        <f aca="false">INT((U4-1)/12)+1</f>
        <v>2</v>
      </c>
      <c r="V6" s="28" t="n">
        <f aca="false">INT((V4-1)/12)+1</f>
        <v>2</v>
      </c>
      <c r="W6" s="28" t="n">
        <f aca="false">INT((W4-1)/12)+1</f>
        <v>2</v>
      </c>
      <c r="X6" s="28" t="n">
        <f aca="false">INT((X4-1)/12)+1</f>
        <v>2</v>
      </c>
      <c r="Y6" s="28" t="n">
        <f aca="false">INT((Y4-1)/12)+1</f>
        <v>2</v>
      </c>
      <c r="Z6" s="28" t="n">
        <f aca="false">INT((Z4-1)/12)+1</f>
        <v>2</v>
      </c>
      <c r="AA6" s="28" t="n">
        <f aca="false">INT((AA4-1)/12)+1</f>
        <v>3</v>
      </c>
      <c r="AB6" s="28" t="n">
        <f aca="false">INT((AB4-1)/12)+1</f>
        <v>3</v>
      </c>
      <c r="AC6" s="28" t="n">
        <f aca="false">INT((AC4-1)/12)+1</f>
        <v>3</v>
      </c>
      <c r="AD6" s="28" t="n">
        <f aca="false">INT((AD4-1)/12)+1</f>
        <v>3</v>
      </c>
      <c r="AE6" s="28" t="n">
        <f aca="false">INT((AE4-1)/12)+1</f>
        <v>3</v>
      </c>
      <c r="AF6" s="28" t="n">
        <f aca="false">INT((AF4-1)/12)+1</f>
        <v>3</v>
      </c>
      <c r="AG6" s="28" t="n">
        <f aca="false">INT((AG4-1)/12)+1</f>
        <v>3</v>
      </c>
      <c r="AH6" s="28" t="n">
        <f aca="false">INT((AH4-1)/12)+1</f>
        <v>3</v>
      </c>
      <c r="AI6" s="28" t="n">
        <f aca="false">INT((AI4-1)/12)+1</f>
        <v>3</v>
      </c>
      <c r="AJ6" s="28" t="n">
        <f aca="false">INT((AJ4-1)/12)+1</f>
        <v>3</v>
      </c>
      <c r="AK6" s="28" t="n">
        <f aca="false">INT((AK4-1)/12)+1</f>
        <v>3</v>
      </c>
      <c r="AL6" s="28" t="n">
        <f aca="false">INT((AL4-1)/12)+1</f>
        <v>3</v>
      </c>
    </row>
    <row r="7" customFormat="false" ht="15" hidden="false" customHeight="false" outlineLevel="0" collapsed="false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customFormat="false" ht="15" hidden="false" customHeight="false" outlineLevel="0" collapsed="false">
      <c r="A8" s="2" t="s">
        <v>159</v>
      </c>
      <c r="B8" s="4"/>
      <c r="C8" s="29" t="n">
        <f aca="false">Assumptions!$C$12</f>
        <v>60</v>
      </c>
      <c r="D8" s="29" t="n">
        <f aca="false">MIN(Assumptions!$C$13,MAX(0,Assumptions!$C$11-C9*(1-Assumptions!$C$17)))</f>
        <v>8</v>
      </c>
      <c r="E8" s="29" t="n">
        <f aca="false">MIN(Assumptions!$C$13,MAX(0,Assumptions!$C$11-D9*(1-Assumptions!$C$17)))</f>
        <v>8</v>
      </c>
      <c r="F8" s="29" t="n">
        <f aca="false">MIN(Assumptions!$C$13,MAX(0,Assumptions!$C$11-E9*(1-Assumptions!$C$17)))</f>
        <v>8</v>
      </c>
      <c r="G8" s="29" t="n">
        <f aca="false">MIN(Assumptions!$C$13,MAX(0,Assumptions!$C$11-F9*(1-Assumptions!$C$17)))</f>
        <v>8</v>
      </c>
      <c r="H8" s="29" t="n">
        <f aca="false">MIN(Assumptions!$C$13,MAX(0,Assumptions!$C$11-G9*(1-Assumptions!$C$17)))</f>
        <v>8</v>
      </c>
      <c r="I8" s="29" t="n">
        <f aca="false">MIN(Assumptions!$C$13,MAX(0,Assumptions!$C$11-H9*(1-Assumptions!$C$17)))</f>
        <v>0</v>
      </c>
      <c r="J8" s="29" t="n">
        <f aca="false">MIN(Assumptions!$C$13,MAX(0,Assumptions!$C$11-I9*(1-Assumptions!$C$17)))</f>
        <v>0</v>
      </c>
      <c r="K8" s="29" t="n">
        <f aca="false">MIN(Assumptions!$C$13,MAX(0,Assumptions!$C$11-J9*(1-Assumptions!$C$17)))</f>
        <v>0</v>
      </c>
      <c r="L8" s="29" t="n">
        <f aca="false">MIN(Assumptions!$C$13,MAX(0,Assumptions!$C$11-K9*(1-Assumptions!$C$17)))</f>
        <v>0</v>
      </c>
      <c r="M8" s="29" t="n">
        <f aca="false">MIN(Assumptions!$C$13,MAX(0,Assumptions!$C$11-L9*(1-Assumptions!$C$17)))</f>
        <v>0</v>
      </c>
      <c r="N8" s="29" t="n">
        <f aca="false">MIN(Assumptions!$C$13,MAX(0,Assumptions!$C$11-M9*(1-Assumptions!$C$17)))</f>
        <v>0</v>
      </c>
      <c r="O8" s="29" t="n">
        <f aca="false">MIN(Assumptions!$C$13,MAX(0,Assumptions!$C$11-N9*(1-Assumptions!$C$17)))</f>
        <v>0</v>
      </c>
      <c r="P8" s="29" t="n">
        <f aca="false">MIN(Assumptions!$C$13,MAX(0,Assumptions!$C$11-O9*(1-Assumptions!$C$17)))</f>
        <v>0</v>
      </c>
      <c r="Q8" s="29" t="n">
        <f aca="false">MIN(Assumptions!$C$13,MAX(0,Assumptions!$C$11-P9*(1-Assumptions!$C$17)))</f>
        <v>0</v>
      </c>
      <c r="R8" s="29" t="n">
        <f aca="false">MIN(Assumptions!$C$13,MAX(0,Assumptions!$C$11-Q9*(1-Assumptions!$C$17)))</f>
        <v>0</v>
      </c>
      <c r="S8" s="29" t="n">
        <f aca="false">MIN(Assumptions!$C$13,MAX(0,Assumptions!$C$11-R9*(1-Assumptions!$C$17)))</f>
        <v>0</v>
      </c>
      <c r="T8" s="29" t="n">
        <f aca="false">MIN(Assumptions!$C$13,MAX(0,Assumptions!$C$11-S9*(1-Assumptions!$C$17)))</f>
        <v>0</v>
      </c>
      <c r="U8" s="29" t="n">
        <f aca="false">MIN(Assumptions!$C$13,MAX(0,Assumptions!$C$11-T9*(1-Assumptions!$C$17)))</f>
        <v>0</v>
      </c>
      <c r="V8" s="29" t="n">
        <f aca="false">MIN(Assumptions!$C$13,MAX(0,Assumptions!$C$11-U9*(1-Assumptions!$C$17)))</f>
        <v>0</v>
      </c>
      <c r="W8" s="29" t="n">
        <f aca="false">MIN(Assumptions!$C$13,MAX(0,Assumptions!$C$11-V9*(1-Assumptions!$C$17)))</f>
        <v>0</v>
      </c>
      <c r="X8" s="29" t="n">
        <f aca="false">MIN(Assumptions!$C$13,MAX(0,Assumptions!$C$11-W9*(1-Assumptions!$C$17)))</f>
        <v>0</v>
      </c>
      <c r="Y8" s="29" t="n">
        <f aca="false">MIN(Assumptions!$C$13,MAX(0,Assumptions!$C$11-X9*(1-Assumptions!$C$17)))</f>
        <v>0</v>
      </c>
      <c r="Z8" s="29" t="n">
        <f aca="false">MIN(Assumptions!$C$13,MAX(0,Assumptions!$C$11-Y9*(1-Assumptions!$C$17)))</f>
        <v>0</v>
      </c>
      <c r="AA8" s="29" t="n">
        <f aca="false">MIN(Assumptions!$C$13,MAX(0,Assumptions!$C$11-Z9*(1-Assumptions!$C$17)))</f>
        <v>0</v>
      </c>
      <c r="AB8" s="29" t="n">
        <f aca="false">MIN(Assumptions!$C$13,MAX(0,Assumptions!$C$11-AA9*(1-Assumptions!$C$17)))</f>
        <v>0</v>
      </c>
      <c r="AC8" s="29" t="n">
        <f aca="false">MIN(Assumptions!$C$13,MAX(0,Assumptions!$C$11-AB9*(1-Assumptions!$C$17)))</f>
        <v>0</v>
      </c>
      <c r="AD8" s="29" t="n">
        <f aca="false">MIN(Assumptions!$C$13,MAX(0,Assumptions!$C$11-AC9*(1-Assumptions!$C$17)))</f>
        <v>0</v>
      </c>
      <c r="AE8" s="29" t="n">
        <f aca="false">MIN(Assumptions!$C$13,MAX(0,Assumptions!$C$11-AD9*(1-Assumptions!$C$17)))</f>
        <v>0</v>
      </c>
      <c r="AF8" s="29" t="n">
        <f aca="false">MIN(Assumptions!$C$13,MAX(0,Assumptions!$C$11-AE9*(1-Assumptions!$C$17)))</f>
        <v>0</v>
      </c>
      <c r="AG8" s="29" t="n">
        <f aca="false">MIN(Assumptions!$C$13,MAX(0,Assumptions!$C$11-AF9*(1-Assumptions!$C$17)))</f>
        <v>0</v>
      </c>
      <c r="AH8" s="29" t="n">
        <f aca="false">MIN(Assumptions!$C$13,MAX(0,Assumptions!$C$11-AG9*(1-Assumptions!$C$17)))</f>
        <v>0</v>
      </c>
      <c r="AI8" s="29" t="n">
        <f aca="false">MIN(Assumptions!$C$13,MAX(0,Assumptions!$C$11-AH9*(1-Assumptions!$C$17)))</f>
        <v>0</v>
      </c>
      <c r="AJ8" s="29" t="n">
        <f aca="false">MIN(Assumptions!$C$13,MAX(0,Assumptions!$C$11-AI9*(1-Assumptions!$C$17)))</f>
        <v>0</v>
      </c>
      <c r="AK8" s="29" t="n">
        <f aca="false">MIN(Assumptions!$C$13,MAX(0,Assumptions!$C$11-AJ9*(1-Assumptions!$C$17)))</f>
        <v>0</v>
      </c>
      <c r="AL8" s="29" t="n">
        <f aca="false">MIN(Assumptions!$C$13,MAX(0,Assumptions!$C$11-AK9*(1-Assumptions!$C$17)))</f>
        <v>0</v>
      </c>
    </row>
    <row r="9" customFormat="false" ht="15" hidden="false" customHeight="false" outlineLevel="0" collapsed="false">
      <c r="A9" s="2" t="s">
        <v>160</v>
      </c>
      <c r="B9" s="4"/>
      <c r="C9" s="29" t="n">
        <f aca="false">0*(1-Assumptions!$C$17)+C8</f>
        <v>60</v>
      </c>
      <c r="D9" s="29" t="n">
        <f aca="false">C9*(1-Assumptions!$C$17)+D8</f>
        <v>68</v>
      </c>
      <c r="E9" s="29" t="n">
        <f aca="false">D9*(1-Assumptions!$C$17)+E8</f>
        <v>76</v>
      </c>
      <c r="F9" s="29" t="n">
        <f aca="false">E9*(1-Assumptions!$C$17)+F8</f>
        <v>84</v>
      </c>
      <c r="G9" s="29" t="n">
        <f aca="false">F9*(1-Assumptions!$C$17)+G8</f>
        <v>92</v>
      </c>
      <c r="H9" s="29" t="n">
        <f aca="false">G9*(1-Assumptions!$C$17)+H8</f>
        <v>100</v>
      </c>
      <c r="I9" s="29" t="n">
        <f aca="false">H9*(1-Assumptions!$C$17)+I8</f>
        <v>100</v>
      </c>
      <c r="J9" s="29" t="n">
        <f aca="false">I9*(1-Assumptions!$C$17)+J8</f>
        <v>100</v>
      </c>
      <c r="K9" s="29" t="n">
        <f aca="false">J9*(1-Assumptions!$C$17)+K8</f>
        <v>100</v>
      </c>
      <c r="L9" s="29" t="n">
        <f aca="false">K9*(1-Assumptions!$C$17)+L8</f>
        <v>100</v>
      </c>
      <c r="M9" s="29" t="n">
        <f aca="false">L9*(1-Assumptions!$C$17)+M8</f>
        <v>100</v>
      </c>
      <c r="N9" s="29" t="n">
        <f aca="false">M9*(1-Assumptions!$C$17)+N8</f>
        <v>100</v>
      </c>
      <c r="O9" s="29" t="n">
        <f aca="false">N9*(1-Assumptions!$C$17)+O8</f>
        <v>100</v>
      </c>
      <c r="P9" s="29" t="n">
        <f aca="false">O9*(1-Assumptions!$C$17)+P8</f>
        <v>100</v>
      </c>
      <c r="Q9" s="29" t="n">
        <f aca="false">P9*(1-Assumptions!$C$17)+Q8</f>
        <v>100</v>
      </c>
      <c r="R9" s="29" t="n">
        <f aca="false">Q9*(1-Assumptions!$C$17)+R8</f>
        <v>100</v>
      </c>
      <c r="S9" s="29" t="n">
        <f aca="false">R9*(1-Assumptions!$C$17)+S8</f>
        <v>100</v>
      </c>
      <c r="T9" s="29" t="n">
        <f aca="false">S9*(1-Assumptions!$C$17)+T8</f>
        <v>100</v>
      </c>
      <c r="U9" s="29" t="n">
        <f aca="false">T9*(1-Assumptions!$C$17)+U8</f>
        <v>100</v>
      </c>
      <c r="V9" s="29" t="n">
        <f aca="false">U9*(1-Assumptions!$C$17)+V8</f>
        <v>100</v>
      </c>
      <c r="W9" s="29" t="n">
        <f aca="false">V9*(1-Assumptions!$C$17)+W8</f>
        <v>100</v>
      </c>
      <c r="X9" s="29" t="n">
        <f aca="false">W9*(1-Assumptions!$C$17)+X8</f>
        <v>100</v>
      </c>
      <c r="Y9" s="29" t="n">
        <f aca="false">X9*(1-Assumptions!$C$17)+Y8</f>
        <v>100</v>
      </c>
      <c r="Z9" s="29" t="n">
        <f aca="false">Y9*(1-Assumptions!$C$17)+Z8</f>
        <v>100</v>
      </c>
      <c r="AA9" s="29" t="n">
        <f aca="false">Z9*(1-Assumptions!$C$17)+AA8</f>
        <v>100</v>
      </c>
      <c r="AB9" s="29" t="n">
        <f aca="false">AA9*(1-Assumptions!$C$17)+AB8</f>
        <v>100</v>
      </c>
      <c r="AC9" s="29" t="n">
        <f aca="false">AB9*(1-Assumptions!$C$17)+AC8</f>
        <v>100</v>
      </c>
      <c r="AD9" s="29" t="n">
        <f aca="false">AC9*(1-Assumptions!$C$17)+AD8</f>
        <v>100</v>
      </c>
      <c r="AE9" s="29" t="n">
        <f aca="false">AD9*(1-Assumptions!$C$17)+AE8</f>
        <v>100</v>
      </c>
      <c r="AF9" s="29" t="n">
        <f aca="false">AE9*(1-Assumptions!$C$17)+AF8</f>
        <v>100</v>
      </c>
      <c r="AG9" s="29" t="n">
        <f aca="false">AF9*(1-Assumptions!$C$17)+AG8</f>
        <v>100</v>
      </c>
      <c r="AH9" s="29" t="n">
        <f aca="false">AG9*(1-Assumptions!$C$17)+AH8</f>
        <v>100</v>
      </c>
      <c r="AI9" s="29" t="n">
        <f aca="false">AH9*(1-Assumptions!$C$17)+AI8</f>
        <v>100</v>
      </c>
      <c r="AJ9" s="29" t="n">
        <f aca="false">AI9*(1-Assumptions!$C$17)+AJ8</f>
        <v>100</v>
      </c>
      <c r="AK9" s="29" t="n">
        <f aca="false">AJ9*(1-Assumptions!$C$17)+AK8</f>
        <v>100</v>
      </c>
      <c r="AL9" s="29" t="n">
        <f aca="false">AK9*(1-Assumptions!$C$17)+AL8</f>
        <v>100</v>
      </c>
    </row>
    <row r="10" customFormat="false" ht="15" hidden="false" customHeight="false" outlineLevel="0" collapsed="false">
      <c r="A10" s="2" t="s">
        <v>161</v>
      </c>
      <c r="B10" s="4"/>
      <c r="C10" s="29" t="n">
        <f aca="false">Assumptions!$C$14</f>
        <v>150</v>
      </c>
      <c r="D10" s="29" t="n">
        <f aca="false">INDEX(Assumptions!$C$15:$E$15,D6)</f>
        <v>50</v>
      </c>
      <c r="E10" s="29" t="n">
        <f aca="false">INDEX(Assumptions!$C$15:$E$15,E6)</f>
        <v>50</v>
      </c>
      <c r="F10" s="29" t="n">
        <f aca="false">INDEX(Assumptions!$C$15:$E$15,F6)</f>
        <v>50</v>
      </c>
      <c r="G10" s="29" t="n">
        <f aca="false">INDEX(Assumptions!$C$15:$E$15,G6)</f>
        <v>50</v>
      </c>
      <c r="H10" s="29" t="n">
        <f aca="false">INDEX(Assumptions!$C$15:$E$15,H6)</f>
        <v>50</v>
      </c>
      <c r="I10" s="29" t="n">
        <f aca="false">INDEX(Assumptions!$C$15:$E$15,I6)</f>
        <v>50</v>
      </c>
      <c r="J10" s="29" t="n">
        <f aca="false">INDEX(Assumptions!$C$15:$E$15,J6)</f>
        <v>50</v>
      </c>
      <c r="K10" s="29" t="n">
        <f aca="false">INDEX(Assumptions!$C$15:$E$15,K6)</f>
        <v>50</v>
      </c>
      <c r="L10" s="29" t="n">
        <f aca="false">INDEX(Assumptions!$C$15:$E$15,L6)</f>
        <v>50</v>
      </c>
      <c r="M10" s="29" t="n">
        <f aca="false">INDEX(Assumptions!$C$15:$E$15,M6)</f>
        <v>50</v>
      </c>
      <c r="N10" s="29" t="n">
        <f aca="false">INDEX(Assumptions!$C$15:$E$15,N6)</f>
        <v>50</v>
      </c>
      <c r="O10" s="29" t="n">
        <f aca="false">INDEX(Assumptions!$C$15:$E$15,O6)</f>
        <v>35</v>
      </c>
      <c r="P10" s="29" t="n">
        <f aca="false">INDEX(Assumptions!$C$15:$E$15,P6)</f>
        <v>35</v>
      </c>
      <c r="Q10" s="29" t="n">
        <f aca="false">INDEX(Assumptions!$C$15:$E$15,Q6)</f>
        <v>35</v>
      </c>
      <c r="R10" s="29" t="n">
        <f aca="false">INDEX(Assumptions!$C$15:$E$15,R6)</f>
        <v>35</v>
      </c>
      <c r="S10" s="29" t="n">
        <f aca="false">INDEX(Assumptions!$C$15:$E$15,S6)</f>
        <v>35</v>
      </c>
      <c r="T10" s="29" t="n">
        <f aca="false">INDEX(Assumptions!$C$15:$E$15,T6)</f>
        <v>35</v>
      </c>
      <c r="U10" s="29" t="n">
        <f aca="false">INDEX(Assumptions!$C$15:$E$15,U6)</f>
        <v>35</v>
      </c>
      <c r="V10" s="29" t="n">
        <f aca="false">INDEX(Assumptions!$C$15:$E$15,V6)</f>
        <v>35</v>
      </c>
      <c r="W10" s="29" t="n">
        <f aca="false">INDEX(Assumptions!$C$15:$E$15,W6)</f>
        <v>35</v>
      </c>
      <c r="X10" s="29" t="n">
        <f aca="false">INDEX(Assumptions!$C$15:$E$15,X6)</f>
        <v>35</v>
      </c>
      <c r="Y10" s="29" t="n">
        <f aca="false">INDEX(Assumptions!$C$15:$E$15,Y6)</f>
        <v>35</v>
      </c>
      <c r="Z10" s="29" t="n">
        <f aca="false">INDEX(Assumptions!$C$15:$E$15,Z6)</f>
        <v>35</v>
      </c>
      <c r="AA10" s="29" t="n">
        <f aca="false">INDEX(Assumptions!$C$15:$E$15,AA6)</f>
        <v>25</v>
      </c>
      <c r="AB10" s="29" t="n">
        <f aca="false">INDEX(Assumptions!$C$15:$E$15,AB6)</f>
        <v>25</v>
      </c>
      <c r="AC10" s="29" t="n">
        <f aca="false">INDEX(Assumptions!$C$15:$E$15,AC6)</f>
        <v>25</v>
      </c>
      <c r="AD10" s="29" t="n">
        <f aca="false">INDEX(Assumptions!$C$15:$E$15,AD6)</f>
        <v>25</v>
      </c>
      <c r="AE10" s="29" t="n">
        <f aca="false">INDEX(Assumptions!$C$15:$E$15,AE6)</f>
        <v>25</v>
      </c>
      <c r="AF10" s="29" t="n">
        <f aca="false">INDEX(Assumptions!$C$15:$E$15,AF6)</f>
        <v>25</v>
      </c>
      <c r="AG10" s="29" t="n">
        <f aca="false">INDEX(Assumptions!$C$15:$E$15,AG6)</f>
        <v>25</v>
      </c>
      <c r="AH10" s="29" t="n">
        <f aca="false">INDEX(Assumptions!$C$15:$E$15,AH6)</f>
        <v>25</v>
      </c>
      <c r="AI10" s="29" t="n">
        <f aca="false">INDEX(Assumptions!$C$15:$E$15,AI6)</f>
        <v>25</v>
      </c>
      <c r="AJ10" s="29" t="n">
        <f aca="false">INDEX(Assumptions!$C$15:$E$15,AJ6)</f>
        <v>25</v>
      </c>
      <c r="AK10" s="29" t="n">
        <f aca="false">INDEX(Assumptions!$C$15:$E$15,AK6)</f>
        <v>25</v>
      </c>
      <c r="AL10" s="29" t="n">
        <f aca="false">INDEX(Assumptions!$C$15:$E$15,AL6)</f>
        <v>25</v>
      </c>
    </row>
    <row r="11" customFormat="false" ht="15" hidden="false" customHeight="false" outlineLevel="0" collapsed="false">
      <c r="A11" s="2" t="s">
        <v>162</v>
      </c>
      <c r="B11" s="4"/>
      <c r="C11" s="29" t="n">
        <f aca="false">0*(1-Assumptions!$C$16)+C10</f>
        <v>150</v>
      </c>
      <c r="D11" s="29" t="n">
        <f aca="false">C11*(1-Assumptions!$C$16)+D10</f>
        <v>197</v>
      </c>
      <c r="E11" s="29" t="n">
        <f aca="false">D11*(1-Assumptions!$C$16)+E10</f>
        <v>243.06</v>
      </c>
      <c r="F11" s="29" t="n">
        <f aca="false">E11*(1-Assumptions!$C$16)+F10</f>
        <v>288.1988</v>
      </c>
      <c r="G11" s="29" t="n">
        <f aca="false">F11*(1-Assumptions!$C$16)+G10</f>
        <v>332.434824</v>
      </c>
      <c r="H11" s="29" t="n">
        <f aca="false">G11*(1-Assumptions!$C$16)+H10</f>
        <v>375.78612752</v>
      </c>
      <c r="I11" s="29" t="n">
        <f aca="false">H11*(1-Assumptions!$C$16)+I10</f>
        <v>418.2704049696</v>
      </c>
      <c r="J11" s="29" t="n">
        <f aca="false">I11*(1-Assumptions!$C$16)+J10</f>
        <v>459.904996870208</v>
      </c>
      <c r="K11" s="29" t="n">
        <f aca="false">J11*(1-Assumptions!$C$16)+K10</f>
        <v>500.706896932804</v>
      </c>
      <c r="L11" s="29" t="n">
        <f aca="false">K11*(1-Assumptions!$C$16)+L10</f>
        <v>540.692758994148</v>
      </c>
      <c r="M11" s="29" t="n">
        <f aca="false">L11*(1-Assumptions!$C$16)+M10</f>
        <v>579.878903814265</v>
      </c>
      <c r="N11" s="29" t="n">
        <f aca="false">M11*(1-Assumptions!$C$16)+N10</f>
        <v>618.281325737979</v>
      </c>
      <c r="O11" s="29" t="n">
        <f aca="false">N11*(1-Assumptions!$C$16)+O10</f>
        <v>640.91569922322</v>
      </c>
      <c r="P11" s="29" t="n">
        <f aca="false">O11*(1-Assumptions!$C$16)+P10</f>
        <v>663.097385238755</v>
      </c>
      <c r="Q11" s="29" t="n">
        <f aca="false">P11*(1-Assumptions!$C$16)+Q10</f>
        <v>684.83543753398</v>
      </c>
      <c r="R11" s="29" t="n">
        <f aca="false">Q11*(1-Assumptions!$C$16)+R10</f>
        <v>706.138728783301</v>
      </c>
      <c r="S11" s="29" t="n">
        <f aca="false">R11*(1-Assumptions!$C$16)+S10</f>
        <v>727.015954207635</v>
      </c>
      <c r="T11" s="29" t="n">
        <f aca="false">S11*(1-Assumptions!$C$16)+T10</f>
        <v>747.475635123482</v>
      </c>
      <c r="U11" s="29" t="n">
        <f aca="false">T11*(1-Assumptions!$C$16)+U10</f>
        <v>767.526122421012</v>
      </c>
      <c r="V11" s="29" t="n">
        <f aca="false">U11*(1-Assumptions!$C$16)+V10</f>
        <v>787.175599972592</v>
      </c>
      <c r="W11" s="29" t="n">
        <f aca="false">V11*(1-Assumptions!$C$16)+W10</f>
        <v>806.43208797314</v>
      </c>
      <c r="X11" s="29" t="n">
        <f aca="false">W11*(1-Assumptions!$C$16)+X10</f>
        <v>825.303446213678</v>
      </c>
      <c r="Y11" s="29" t="n">
        <f aca="false">X11*(1-Assumptions!$C$16)+Y10</f>
        <v>843.797377289404</v>
      </c>
      <c r="Z11" s="29" t="n">
        <f aca="false">Y11*(1-Assumptions!$C$16)+Z10</f>
        <v>861.921429743616</v>
      </c>
      <c r="AA11" s="29" t="n">
        <f aca="false">Z11*(1-Assumptions!$C$16)+AA10</f>
        <v>869.683001148744</v>
      </c>
      <c r="AB11" s="29" t="n">
        <f aca="false">AA11*(1-Assumptions!$C$16)+AB10</f>
        <v>877.289341125769</v>
      </c>
      <c r="AC11" s="29" t="n">
        <f aca="false">AB11*(1-Assumptions!$C$16)+AC10</f>
        <v>884.743554303253</v>
      </c>
      <c r="AD11" s="29" t="n">
        <f aca="false">AC11*(1-Assumptions!$C$16)+AD10</f>
        <v>892.048683217188</v>
      </c>
      <c r="AE11" s="29" t="n">
        <f aca="false">AD11*(1-Assumptions!$C$16)+AE10</f>
        <v>899.207709552844</v>
      </c>
      <c r="AF11" s="29" t="n">
        <f aca="false">AE11*(1-Assumptions!$C$16)+AF10</f>
        <v>906.223555361788</v>
      </c>
      <c r="AG11" s="29" t="n">
        <f aca="false">AF11*(1-Assumptions!$C$16)+AG10</f>
        <v>913.099084254552</v>
      </c>
      <c r="AH11" s="29" t="n">
        <f aca="false">AG11*(1-Assumptions!$C$16)+AH10</f>
        <v>919.837102569461</v>
      </c>
      <c r="AI11" s="29" t="n">
        <f aca="false">AH11*(1-Assumptions!$C$16)+AI10</f>
        <v>926.440360518071</v>
      </c>
      <c r="AJ11" s="29" t="n">
        <f aca="false">AI11*(1-Assumptions!$C$16)+AJ10</f>
        <v>932.91155330771</v>
      </c>
      <c r="AK11" s="29" t="n">
        <f aca="false">AJ11*(1-Assumptions!$C$16)+AK10</f>
        <v>939.253322241556</v>
      </c>
      <c r="AL11" s="29" t="n">
        <f aca="false">AK11*(1-Assumptions!$C$16)+AL10</f>
        <v>945.468255796725</v>
      </c>
    </row>
    <row r="12" customFormat="false" ht="15" hidden="false" customHeight="false" outlineLevel="0" collapsed="false">
      <c r="A12" s="3" t="s">
        <v>163</v>
      </c>
      <c r="B12" s="4"/>
      <c r="C12" s="30" t="n">
        <f aca="false">C9+C11</f>
        <v>210</v>
      </c>
      <c r="D12" s="30" t="n">
        <f aca="false">D9+D11</f>
        <v>265</v>
      </c>
      <c r="E12" s="30" t="n">
        <f aca="false">E9+E11</f>
        <v>319.06</v>
      </c>
      <c r="F12" s="30" t="n">
        <f aca="false">F9+F11</f>
        <v>372.1988</v>
      </c>
      <c r="G12" s="30" t="n">
        <f aca="false">G9+G11</f>
        <v>424.434824</v>
      </c>
      <c r="H12" s="30" t="n">
        <f aca="false">H9+H11</f>
        <v>475.78612752</v>
      </c>
      <c r="I12" s="30" t="n">
        <f aca="false">I9+I11</f>
        <v>518.2704049696</v>
      </c>
      <c r="J12" s="30" t="n">
        <f aca="false">J9+J11</f>
        <v>559.904996870208</v>
      </c>
      <c r="K12" s="30" t="n">
        <f aca="false">K9+K11</f>
        <v>600.706896932804</v>
      </c>
      <c r="L12" s="30" t="n">
        <f aca="false">L9+L11</f>
        <v>640.692758994148</v>
      </c>
      <c r="M12" s="30" t="n">
        <f aca="false">M9+M11</f>
        <v>679.878903814265</v>
      </c>
      <c r="N12" s="30" t="n">
        <f aca="false">N9+N11</f>
        <v>718.281325737979</v>
      </c>
      <c r="O12" s="30" t="n">
        <f aca="false">O9+O11</f>
        <v>740.91569922322</v>
      </c>
      <c r="P12" s="30" t="n">
        <f aca="false">P9+P11</f>
        <v>763.097385238755</v>
      </c>
      <c r="Q12" s="30" t="n">
        <f aca="false">Q9+Q11</f>
        <v>784.83543753398</v>
      </c>
      <c r="R12" s="30" t="n">
        <f aca="false">R9+R11</f>
        <v>806.138728783301</v>
      </c>
      <c r="S12" s="30" t="n">
        <f aca="false">S9+S11</f>
        <v>827.015954207635</v>
      </c>
      <c r="T12" s="30" t="n">
        <f aca="false">T9+T11</f>
        <v>847.475635123482</v>
      </c>
      <c r="U12" s="30" t="n">
        <f aca="false">U9+U11</f>
        <v>867.526122421012</v>
      </c>
      <c r="V12" s="30" t="n">
        <f aca="false">V9+V11</f>
        <v>887.175599972592</v>
      </c>
      <c r="W12" s="30" t="n">
        <f aca="false">W9+W11</f>
        <v>906.43208797314</v>
      </c>
      <c r="X12" s="30" t="n">
        <f aca="false">X9+X11</f>
        <v>925.303446213678</v>
      </c>
      <c r="Y12" s="30" t="n">
        <f aca="false">Y9+Y11</f>
        <v>943.797377289404</v>
      </c>
      <c r="Z12" s="30" t="n">
        <f aca="false">Z9+Z11</f>
        <v>961.921429743616</v>
      </c>
      <c r="AA12" s="30" t="n">
        <f aca="false">AA9+AA11</f>
        <v>969.683001148744</v>
      </c>
      <c r="AB12" s="30" t="n">
        <f aca="false">AB9+AB11</f>
        <v>977.289341125769</v>
      </c>
      <c r="AC12" s="30" t="n">
        <f aca="false">AC9+AC11</f>
        <v>984.743554303253</v>
      </c>
      <c r="AD12" s="30" t="n">
        <f aca="false">AD9+AD11</f>
        <v>992.048683217188</v>
      </c>
      <c r="AE12" s="30" t="n">
        <f aca="false">AE9+AE11</f>
        <v>999.207709552844</v>
      </c>
      <c r="AF12" s="30" t="n">
        <f aca="false">AF9+AF11</f>
        <v>1006.22355536179</v>
      </c>
      <c r="AG12" s="30" t="n">
        <f aca="false">AG9+AG11</f>
        <v>1013.09908425455</v>
      </c>
      <c r="AH12" s="30" t="n">
        <f aca="false">AH9+AH11</f>
        <v>1019.83710256946</v>
      </c>
      <c r="AI12" s="30" t="n">
        <f aca="false">AI9+AI11</f>
        <v>1026.44036051807</v>
      </c>
      <c r="AJ12" s="30" t="n">
        <f aca="false">AJ9+AJ11</f>
        <v>1032.91155330771</v>
      </c>
      <c r="AK12" s="30" t="n">
        <f aca="false">AK9+AK11</f>
        <v>1039.25332224156</v>
      </c>
      <c r="AL12" s="30" t="n">
        <f aca="false">AL9+AL11</f>
        <v>1045.46825579672</v>
      </c>
    </row>
    <row r="13" customFormat="false" ht="15" hidden="false" customHeight="false" outlineLevel="0" collapsed="false">
      <c r="A13" s="2" t="s">
        <v>164</v>
      </c>
      <c r="B13" s="4"/>
      <c r="C13" s="29" t="n">
        <f aca="false">0</f>
        <v>0</v>
      </c>
      <c r="D13" s="29" t="n">
        <f aca="false">0</f>
        <v>0</v>
      </c>
      <c r="E13" s="29" t="n">
        <f aca="false">0</f>
        <v>0</v>
      </c>
      <c r="F13" s="29" t="n">
        <f aca="false">0</f>
        <v>0</v>
      </c>
      <c r="G13" s="29" t="n">
        <f aca="false">0</f>
        <v>0</v>
      </c>
      <c r="H13" s="29" t="n">
        <f aca="false">0</f>
        <v>0</v>
      </c>
      <c r="I13" s="29" t="n">
        <f aca="false">0</f>
        <v>0</v>
      </c>
      <c r="J13" s="29" t="n">
        <f aca="false">0</f>
        <v>0</v>
      </c>
      <c r="K13" s="29" t="n">
        <f aca="false">0</f>
        <v>0</v>
      </c>
      <c r="L13" s="29" t="n">
        <f aca="false">0</f>
        <v>0</v>
      </c>
      <c r="M13" s="29" t="n">
        <f aca="false">0</f>
        <v>0</v>
      </c>
      <c r="N13" s="29" t="n">
        <f aca="false">0</f>
        <v>0</v>
      </c>
      <c r="O13" s="29" t="n">
        <f aca="false">(C8+C13)*(1-Assumptions!$C$17)^12</f>
        <v>60</v>
      </c>
      <c r="P13" s="29" t="n">
        <f aca="false">(D8+D13)*(1-Assumptions!$C$17)^12</f>
        <v>8</v>
      </c>
      <c r="Q13" s="29" t="n">
        <f aca="false">(E8+E13)*(1-Assumptions!$C$17)^12</f>
        <v>8</v>
      </c>
      <c r="R13" s="29" t="n">
        <f aca="false">(F8+F13)*(1-Assumptions!$C$17)^12</f>
        <v>8</v>
      </c>
      <c r="S13" s="29" t="n">
        <f aca="false">(G8+G13)*(1-Assumptions!$C$17)^12</f>
        <v>8</v>
      </c>
      <c r="T13" s="29" t="n">
        <f aca="false">(H8+H13)*(1-Assumptions!$C$17)^12</f>
        <v>8</v>
      </c>
      <c r="U13" s="29" t="n">
        <f aca="false">(I8+I13)*(1-Assumptions!$C$17)^12</f>
        <v>0</v>
      </c>
      <c r="V13" s="29" t="n">
        <f aca="false">(J8+J13)*(1-Assumptions!$C$17)^12</f>
        <v>0</v>
      </c>
      <c r="W13" s="29" t="n">
        <f aca="false">(K8+K13)*(1-Assumptions!$C$17)^12</f>
        <v>0</v>
      </c>
      <c r="X13" s="29" t="n">
        <f aca="false">(L8+L13)*(1-Assumptions!$C$17)^12</f>
        <v>0</v>
      </c>
      <c r="Y13" s="29" t="n">
        <f aca="false">(M8+M13)*(1-Assumptions!$C$17)^12</f>
        <v>0</v>
      </c>
      <c r="Z13" s="29" t="n">
        <f aca="false">(N8+N13)*(1-Assumptions!$C$17)^12</f>
        <v>0</v>
      </c>
      <c r="AA13" s="29" t="n">
        <f aca="false">(O8+O13)*(1-Assumptions!$C$17)^12</f>
        <v>60</v>
      </c>
      <c r="AB13" s="29" t="n">
        <f aca="false">(P8+P13)*(1-Assumptions!$C$17)^12</f>
        <v>8</v>
      </c>
      <c r="AC13" s="29" t="n">
        <f aca="false">(Q8+Q13)*(1-Assumptions!$C$17)^12</f>
        <v>8</v>
      </c>
      <c r="AD13" s="29" t="n">
        <f aca="false">(R8+R13)*(1-Assumptions!$C$17)^12</f>
        <v>8</v>
      </c>
      <c r="AE13" s="29" t="n">
        <f aca="false">(S8+S13)*(1-Assumptions!$C$17)^12</f>
        <v>8</v>
      </c>
      <c r="AF13" s="29" t="n">
        <f aca="false">(T8+T13)*(1-Assumptions!$C$17)^12</f>
        <v>8</v>
      </c>
      <c r="AG13" s="29" t="n">
        <f aca="false">(U8+U13)*(1-Assumptions!$C$17)^12</f>
        <v>0</v>
      </c>
      <c r="AH13" s="29" t="n">
        <f aca="false">(V8+V13)*(1-Assumptions!$C$17)^12</f>
        <v>0</v>
      </c>
      <c r="AI13" s="29" t="n">
        <f aca="false">(W8+W13)*(1-Assumptions!$C$17)^12</f>
        <v>0</v>
      </c>
      <c r="AJ13" s="29" t="n">
        <f aca="false">(X8+X13)*(1-Assumptions!$C$17)^12</f>
        <v>0</v>
      </c>
      <c r="AK13" s="29" t="n">
        <f aca="false">(Y8+Y13)*(1-Assumptions!$C$17)^12</f>
        <v>0</v>
      </c>
      <c r="AL13" s="29" t="n">
        <f aca="false">(Z8+Z13)*(1-Assumptions!$C$17)^12</f>
        <v>0</v>
      </c>
    </row>
    <row r="14" customFormat="false" ht="15" hidden="false" customHeight="false" outlineLevel="0" collapsed="false">
      <c r="A14" s="2" t="s">
        <v>165</v>
      </c>
      <c r="B14" s="4"/>
      <c r="C14" s="29" t="n">
        <f aca="false">0</f>
        <v>0</v>
      </c>
      <c r="D14" s="29" t="n">
        <f aca="false">0</f>
        <v>0</v>
      </c>
      <c r="E14" s="29" t="n">
        <f aca="false">0</f>
        <v>0</v>
      </c>
      <c r="F14" s="29" t="n">
        <f aca="false">0</f>
        <v>0</v>
      </c>
      <c r="G14" s="29" t="n">
        <f aca="false">0</f>
        <v>0</v>
      </c>
      <c r="H14" s="29" t="n">
        <f aca="false">0</f>
        <v>0</v>
      </c>
      <c r="I14" s="29" t="n">
        <f aca="false">0</f>
        <v>0</v>
      </c>
      <c r="J14" s="29" t="n">
        <f aca="false">0</f>
        <v>0</v>
      </c>
      <c r="K14" s="29" t="n">
        <f aca="false">0</f>
        <v>0</v>
      </c>
      <c r="L14" s="29" t="n">
        <f aca="false">0</f>
        <v>0</v>
      </c>
      <c r="M14" s="29" t="n">
        <f aca="false">0</f>
        <v>0</v>
      </c>
      <c r="N14" s="29" t="n">
        <f aca="false">0</f>
        <v>0</v>
      </c>
      <c r="O14" s="29" t="n">
        <f aca="false">(C10+C14)*(1-Assumptions!$C$16)^12</f>
        <v>117.70750856022</v>
      </c>
      <c r="P14" s="29" t="n">
        <f aca="false">(D10+D14)*(1-Assumptions!$C$16)^12</f>
        <v>39.23583618674</v>
      </c>
      <c r="Q14" s="29" t="n">
        <f aca="false">(E10+E14)*(1-Assumptions!$C$16)^12</f>
        <v>39.23583618674</v>
      </c>
      <c r="R14" s="29" t="n">
        <f aca="false">(F10+F14)*(1-Assumptions!$C$16)^12</f>
        <v>39.23583618674</v>
      </c>
      <c r="S14" s="29" t="n">
        <f aca="false">(G10+G14)*(1-Assumptions!$C$16)^12</f>
        <v>39.23583618674</v>
      </c>
      <c r="T14" s="29" t="n">
        <f aca="false">(H10+H14)*(1-Assumptions!$C$16)^12</f>
        <v>39.23583618674</v>
      </c>
      <c r="U14" s="29" t="n">
        <f aca="false">(I10+I14)*(1-Assumptions!$C$16)^12</f>
        <v>39.23583618674</v>
      </c>
      <c r="V14" s="29" t="n">
        <f aca="false">(J10+J14)*(1-Assumptions!$C$16)^12</f>
        <v>39.23583618674</v>
      </c>
      <c r="W14" s="29" t="n">
        <f aca="false">(K10+K14)*(1-Assumptions!$C$16)^12</f>
        <v>39.23583618674</v>
      </c>
      <c r="X14" s="29" t="n">
        <f aca="false">(L10+L14)*(1-Assumptions!$C$16)^12</f>
        <v>39.23583618674</v>
      </c>
      <c r="Y14" s="29" t="n">
        <f aca="false">(M10+M14)*(1-Assumptions!$C$16)^12</f>
        <v>39.23583618674</v>
      </c>
      <c r="Z14" s="29" t="n">
        <f aca="false">(N10+N14)*(1-Assumptions!$C$16)^12</f>
        <v>39.23583618674</v>
      </c>
      <c r="AA14" s="29" t="n">
        <f aca="false">(O10+O14)*(1-Assumptions!$C$16)^12</f>
        <v>119.83213580708</v>
      </c>
      <c r="AB14" s="29" t="n">
        <f aca="false">(P10+P14)*(1-Assumptions!$C$16)^12</f>
        <v>58.2541021561719</v>
      </c>
      <c r="AC14" s="29" t="n">
        <f aca="false">(Q10+Q14)*(1-Assumptions!$C$16)^12</f>
        <v>58.2541021561719</v>
      </c>
      <c r="AD14" s="29" t="n">
        <f aca="false">(R10+R14)*(1-Assumptions!$C$16)^12</f>
        <v>58.2541021561719</v>
      </c>
      <c r="AE14" s="29" t="n">
        <f aca="false">(S10+S14)*(1-Assumptions!$C$16)^12</f>
        <v>58.2541021561719</v>
      </c>
      <c r="AF14" s="29" t="n">
        <f aca="false">(T10+T14)*(1-Assumptions!$C$16)^12</f>
        <v>58.2541021561719</v>
      </c>
      <c r="AG14" s="29" t="n">
        <f aca="false">(U10+U14)*(1-Assumptions!$C$16)^12</f>
        <v>58.2541021561719</v>
      </c>
      <c r="AH14" s="29" t="n">
        <f aca="false">(V10+V14)*(1-Assumptions!$C$16)^12</f>
        <v>58.2541021561719</v>
      </c>
      <c r="AI14" s="29" t="n">
        <f aca="false">(W10+W14)*(1-Assumptions!$C$16)^12</f>
        <v>58.2541021561719</v>
      </c>
      <c r="AJ14" s="29" t="n">
        <f aca="false">(X10+X14)*(1-Assumptions!$C$16)^12</f>
        <v>58.2541021561719</v>
      </c>
      <c r="AK14" s="29" t="n">
        <f aca="false">(Y10+Y14)*(1-Assumptions!$C$16)^12</f>
        <v>58.2541021561719</v>
      </c>
      <c r="AL14" s="29" t="n">
        <f aca="false">(Z10+Z14)*(1-Assumptions!$C$16)^12</f>
        <v>58.2541021561719</v>
      </c>
    </row>
    <row r="15" customFormat="false" ht="15" hidden="false" customHeight="false" outlineLevel="0" collapsed="false">
      <c r="A15" s="7" t="s">
        <v>166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customFormat="false" ht="15" hidden="false" customHeight="false" outlineLevel="0" collapsed="false">
      <c r="A16" s="2" t="s">
        <v>167</v>
      </c>
      <c r="B16" s="4"/>
      <c r="C16" s="31" t="n">
        <f aca="false">C12*INDEX(Assumptions!$C$19:$E$19,C6)*INDEX(Assumptions!$C$20:$E$20,C6)</f>
        <v>8872.5</v>
      </c>
      <c r="D16" s="31" t="n">
        <f aca="false">D12*INDEX(Assumptions!$C$19:$E$19,D6)*INDEX(Assumptions!$C$20:$E$20,D6)</f>
        <v>11196.25</v>
      </c>
      <c r="E16" s="31" t="n">
        <f aca="false">E12*INDEX(Assumptions!$C$19:$E$19,E6)*INDEX(Assumptions!$C$20:$E$20,E6)</f>
        <v>13480.285</v>
      </c>
      <c r="F16" s="31" t="n">
        <f aca="false">F12*INDEX(Assumptions!$C$19:$E$19,F6)*INDEX(Assumptions!$C$20:$E$20,F6)</f>
        <v>15725.3993</v>
      </c>
      <c r="G16" s="31" t="n">
        <f aca="false">G12*INDEX(Assumptions!$C$19:$E$19,G6)*INDEX(Assumptions!$C$20:$E$20,G6)</f>
        <v>17932.371314</v>
      </c>
      <c r="H16" s="31" t="n">
        <f aca="false">H12*INDEX(Assumptions!$C$19:$E$19,H6)*INDEX(Assumptions!$C$20:$E$20,H6)</f>
        <v>20101.96388772</v>
      </c>
      <c r="I16" s="31" t="n">
        <f aca="false">I12*INDEX(Assumptions!$C$19:$E$19,I6)*INDEX(Assumptions!$C$20:$E$20,I6)</f>
        <v>21896.9246099656</v>
      </c>
      <c r="J16" s="31" t="n">
        <f aca="false">J12*INDEX(Assumptions!$C$19:$E$19,J6)*INDEX(Assumptions!$C$20:$E$20,J6)</f>
        <v>23655.9861177663</v>
      </c>
      <c r="K16" s="31" t="n">
        <f aca="false">K12*INDEX(Assumptions!$C$19:$E$19,K6)*INDEX(Assumptions!$C$20:$E$20,K6)</f>
        <v>25379.866395411</v>
      </c>
      <c r="L16" s="31" t="n">
        <f aca="false">L12*INDEX(Assumptions!$C$19:$E$19,L6)*INDEX(Assumptions!$C$20:$E$20,L6)</f>
        <v>27069.2690675027</v>
      </c>
      <c r="M16" s="31" t="n">
        <f aca="false">M12*INDEX(Assumptions!$C$19:$E$19,M6)*INDEX(Assumptions!$C$20:$E$20,M6)</f>
        <v>28724.8836861527</v>
      </c>
      <c r="N16" s="31" t="n">
        <f aca="false">N12*INDEX(Assumptions!$C$19:$E$19,N6)*INDEX(Assumptions!$C$20:$E$20,N6)</f>
        <v>30347.3860124296</v>
      </c>
      <c r="O16" s="31" t="n">
        <f aca="false">O12*INDEX(Assumptions!$C$19:$E$19,O6)*INDEX(Assumptions!$C$20:$E$20,O6)</f>
        <v>35267.5872830253</v>
      </c>
      <c r="P16" s="31" t="n">
        <f aca="false">P12*INDEX(Assumptions!$C$19:$E$19,P6)*INDEX(Assumptions!$C$20:$E$20,P6)</f>
        <v>36323.4355373648</v>
      </c>
      <c r="Q16" s="31" t="n">
        <f aca="false">Q12*INDEX(Assumptions!$C$19:$E$19,Q6)*INDEX(Assumptions!$C$20:$E$20,Q6)</f>
        <v>37358.1668266175</v>
      </c>
      <c r="R16" s="31" t="n">
        <f aca="false">R12*INDEX(Assumptions!$C$19:$E$19,R6)*INDEX(Assumptions!$C$20:$E$20,R6)</f>
        <v>38372.2034900851</v>
      </c>
      <c r="S16" s="31" t="n">
        <f aca="false">S12*INDEX(Assumptions!$C$19:$E$19,S6)*INDEX(Assumptions!$C$20:$E$20,S6)</f>
        <v>39365.9594202834</v>
      </c>
      <c r="T16" s="31" t="n">
        <f aca="false">T12*INDEX(Assumptions!$C$19:$E$19,T6)*INDEX(Assumptions!$C$20:$E$20,T6)</f>
        <v>40339.8402318777</v>
      </c>
      <c r="U16" s="31" t="n">
        <f aca="false">U12*INDEX(Assumptions!$C$19:$E$19,U6)*INDEX(Assumptions!$C$20:$E$20,U6)</f>
        <v>41294.2434272402</v>
      </c>
      <c r="V16" s="31" t="n">
        <f aca="false">V12*INDEX(Assumptions!$C$19:$E$19,V6)*INDEX(Assumptions!$C$20:$E$20,V6)</f>
        <v>42229.5585586954</v>
      </c>
      <c r="W16" s="31" t="n">
        <f aca="false">W12*INDEX(Assumptions!$C$19:$E$19,W6)*INDEX(Assumptions!$C$20:$E$20,W6)</f>
        <v>43146.1673875215</v>
      </c>
      <c r="X16" s="31" t="n">
        <f aca="false">X12*INDEX(Assumptions!$C$19:$E$19,X6)*INDEX(Assumptions!$C$20:$E$20,X6)</f>
        <v>44044.444039771</v>
      </c>
      <c r="Y16" s="31" t="n">
        <f aca="false">Y12*INDEX(Assumptions!$C$19:$E$19,Y6)*INDEX(Assumptions!$C$20:$E$20,Y6)</f>
        <v>44924.7551589756</v>
      </c>
      <c r="Z16" s="31" t="n">
        <f aca="false">Z12*INDEX(Assumptions!$C$19:$E$19,Z6)*INDEX(Assumptions!$C$20:$E$20,Z6)</f>
        <v>45787.4600557961</v>
      </c>
      <c r="AA16" s="31" t="n">
        <f aca="false">AA12*INDEX(Assumptions!$C$19:$E$19,AA6)*INDEX(Assumptions!$C$20:$E$20,AA6)</f>
        <v>48872.0232578967</v>
      </c>
      <c r="AB16" s="31" t="n">
        <f aca="false">AB12*INDEX(Assumptions!$C$19:$E$19,AB6)*INDEX(Assumptions!$C$20:$E$20,AB6)</f>
        <v>49255.3827927387</v>
      </c>
      <c r="AC16" s="31" t="n">
        <f aca="false">AC12*INDEX(Assumptions!$C$19:$E$19,AC6)*INDEX(Assumptions!$C$20:$E$20,AC6)</f>
        <v>49631.075136884</v>
      </c>
      <c r="AD16" s="31" t="n">
        <f aca="false">AD12*INDEX(Assumptions!$C$19:$E$19,AD6)*INDEX(Assumptions!$C$20:$E$20,AD6)</f>
        <v>49999.2536341463</v>
      </c>
      <c r="AE16" s="31" t="n">
        <f aca="false">AE12*INDEX(Assumptions!$C$19:$E$19,AE6)*INDEX(Assumptions!$C$20:$E$20,AE6)</f>
        <v>50360.0685614634</v>
      </c>
      <c r="AF16" s="31" t="n">
        <f aca="false">AF12*INDEX(Assumptions!$C$19:$E$19,AF6)*INDEX(Assumptions!$C$20:$E$20,AF6)</f>
        <v>50713.6671902341</v>
      </c>
      <c r="AG16" s="31" t="n">
        <f aca="false">AG12*INDEX(Assumptions!$C$19:$E$19,AG6)*INDEX(Assumptions!$C$20:$E$20,AG6)</f>
        <v>51060.1938464294</v>
      </c>
      <c r="AH16" s="31" t="n">
        <f aca="false">AH12*INDEX(Assumptions!$C$19:$E$19,AH6)*INDEX(Assumptions!$C$20:$E$20,AH6)</f>
        <v>51399.7899695008</v>
      </c>
      <c r="AI16" s="31" t="n">
        <f aca="false">AI12*INDEX(Assumptions!$C$19:$E$19,AI6)*INDEX(Assumptions!$C$20:$E$20,AI6)</f>
        <v>51732.5941701108</v>
      </c>
      <c r="AJ16" s="31" t="n">
        <f aca="false">AJ12*INDEX(Assumptions!$C$19:$E$19,AJ6)*INDEX(Assumptions!$C$20:$E$20,AJ6)</f>
        <v>52058.7422867086</v>
      </c>
      <c r="AK16" s="31" t="n">
        <f aca="false">AK12*INDEX(Assumptions!$C$19:$E$19,AK6)*INDEX(Assumptions!$C$20:$E$20,AK6)</f>
        <v>52378.3674409744</v>
      </c>
      <c r="AL16" s="31" t="n">
        <f aca="false">AL12*INDEX(Assumptions!$C$19:$E$19,AL6)*INDEX(Assumptions!$C$20:$E$20,AL6)</f>
        <v>52691.6000921549</v>
      </c>
    </row>
    <row r="17" customFormat="false" ht="15" hidden="false" customHeight="false" outlineLevel="0" collapsed="false">
      <c r="A17" s="2" t="s">
        <v>168</v>
      </c>
      <c r="B17" s="4"/>
      <c r="C17" s="31" t="n">
        <f aca="false">-C16*Assumptions!$C$22*Assumptions!$C$23</f>
        <v>-159.705</v>
      </c>
      <c r="D17" s="31" t="n">
        <f aca="false">-D16*Assumptions!$C$22*Assumptions!$C$23</f>
        <v>-201.5325</v>
      </c>
      <c r="E17" s="31" t="n">
        <f aca="false">-E16*Assumptions!$C$22*Assumptions!$C$23</f>
        <v>-242.64513</v>
      </c>
      <c r="F17" s="31" t="n">
        <f aca="false">-F16*Assumptions!$C$22*Assumptions!$C$23</f>
        <v>-283.0571874</v>
      </c>
      <c r="G17" s="31" t="n">
        <f aca="false">-G16*Assumptions!$C$22*Assumptions!$C$23</f>
        <v>-322.782683652</v>
      </c>
      <c r="H17" s="31" t="n">
        <f aca="false">-H16*Assumptions!$C$22*Assumptions!$C$23</f>
        <v>-361.83534997896</v>
      </c>
      <c r="I17" s="31" t="n">
        <f aca="false">-I16*Assumptions!$C$22*Assumptions!$C$23</f>
        <v>-394.144642979381</v>
      </c>
      <c r="J17" s="31" t="n">
        <f aca="false">-J16*Assumptions!$C$22*Assumptions!$C$23</f>
        <v>-425.807750119793</v>
      </c>
      <c r="K17" s="31" t="n">
        <f aca="false">-K16*Assumptions!$C$22*Assumptions!$C$23</f>
        <v>-456.837595117397</v>
      </c>
      <c r="L17" s="31" t="n">
        <f aca="false">-L16*Assumptions!$C$22*Assumptions!$C$23</f>
        <v>-487.246843215049</v>
      </c>
      <c r="M17" s="31" t="n">
        <f aca="false">-M16*Assumptions!$C$22*Assumptions!$C$23</f>
        <v>-517.047906350748</v>
      </c>
      <c r="N17" s="31" t="n">
        <f aca="false">-N16*Assumptions!$C$22*Assumptions!$C$23</f>
        <v>-546.252948223733</v>
      </c>
      <c r="O17" s="31" t="n">
        <f aca="false">-O16*Assumptions!$C$22*Assumptions!$C$23</f>
        <v>-634.816571094455</v>
      </c>
      <c r="P17" s="31" t="n">
        <f aca="false">-P16*Assumptions!$C$22*Assumptions!$C$23</f>
        <v>-653.821839672566</v>
      </c>
      <c r="Q17" s="31" t="n">
        <f aca="false">-Q16*Assumptions!$C$22*Assumptions!$C$23</f>
        <v>-672.447002879114</v>
      </c>
      <c r="R17" s="31" t="n">
        <f aca="false">-R16*Assumptions!$C$22*Assumptions!$C$23</f>
        <v>-690.699662821532</v>
      </c>
      <c r="S17" s="31" t="n">
        <f aca="false">-S16*Assumptions!$C$22*Assumptions!$C$23</f>
        <v>-708.587269565101</v>
      </c>
      <c r="T17" s="31" t="n">
        <f aca="false">-T16*Assumptions!$C$22*Assumptions!$C$23</f>
        <v>-726.117124173799</v>
      </c>
      <c r="U17" s="31" t="n">
        <f aca="false">-U16*Assumptions!$C$22*Assumptions!$C$23</f>
        <v>-743.296381690323</v>
      </c>
      <c r="V17" s="31" t="n">
        <f aca="false">-V16*Assumptions!$C$22*Assumptions!$C$23</f>
        <v>-760.132054056517</v>
      </c>
      <c r="W17" s="31" t="n">
        <f aca="false">-W16*Assumptions!$C$22*Assumptions!$C$23</f>
        <v>-776.631012975387</v>
      </c>
      <c r="X17" s="31" t="n">
        <f aca="false">-X16*Assumptions!$C$22*Assumptions!$C$23</f>
        <v>-792.799992715879</v>
      </c>
      <c r="Y17" s="31" t="n">
        <f aca="false">-Y16*Assumptions!$C$22*Assumptions!$C$23</f>
        <v>-808.645592861561</v>
      </c>
      <c r="Z17" s="31" t="n">
        <f aca="false">-Z16*Assumptions!$C$22*Assumptions!$C$23</f>
        <v>-824.17428100433</v>
      </c>
      <c r="AA17" s="31" t="n">
        <f aca="false">-AA16*Assumptions!$C$22*Assumptions!$C$23</f>
        <v>-879.69641864214</v>
      </c>
      <c r="AB17" s="31" t="n">
        <f aca="false">-AB16*Assumptions!$C$22*Assumptions!$C$23</f>
        <v>-886.596890269297</v>
      </c>
      <c r="AC17" s="31" t="n">
        <f aca="false">-AC16*Assumptions!$C$22*Assumptions!$C$23</f>
        <v>-893.359352463911</v>
      </c>
      <c r="AD17" s="31" t="n">
        <f aca="false">-AD16*Assumptions!$C$22*Assumptions!$C$23</f>
        <v>-899.986565414633</v>
      </c>
      <c r="AE17" s="31" t="n">
        <f aca="false">-AE16*Assumptions!$C$22*Assumptions!$C$23</f>
        <v>-906.48123410634</v>
      </c>
      <c r="AF17" s="31" t="n">
        <f aca="false">-AF16*Assumptions!$C$22*Assumptions!$C$23</f>
        <v>-912.846009424214</v>
      </c>
      <c r="AG17" s="31" t="n">
        <f aca="false">-AG16*Assumptions!$C$22*Assumptions!$C$23</f>
        <v>-919.083489235729</v>
      </c>
      <c r="AH17" s="31" t="n">
        <f aca="false">-AH16*Assumptions!$C$22*Assumptions!$C$23</f>
        <v>-925.196219451015</v>
      </c>
      <c r="AI17" s="31" t="n">
        <f aca="false">-AI16*Assumptions!$C$22*Assumptions!$C$23</f>
        <v>-931.186695061994</v>
      </c>
      <c r="AJ17" s="31" t="n">
        <f aca="false">-AJ16*Assumptions!$C$22*Assumptions!$C$23</f>
        <v>-937.057361160755</v>
      </c>
      <c r="AK17" s="31" t="n">
        <f aca="false">-AK16*Assumptions!$C$22*Assumptions!$C$23</f>
        <v>-942.810613937539</v>
      </c>
      <c r="AL17" s="31" t="n">
        <f aca="false">-AL16*Assumptions!$C$22*Assumptions!$C$23</f>
        <v>-948.448801658788</v>
      </c>
    </row>
    <row r="18" customFormat="false" ht="15" hidden="false" customHeight="false" outlineLevel="0" collapsed="false">
      <c r="A18" s="2" t="s">
        <v>169</v>
      </c>
      <c r="B18" s="4"/>
      <c r="C18" s="31" t="n">
        <f aca="false">(C8+C13)*Assumptions!$C$9+(C10+C14)*Assumptions!$C$10</f>
        <v>20250</v>
      </c>
      <c r="D18" s="31" t="n">
        <f aca="false">(D8+D13)*Assumptions!$C$9+(D10+D14)*Assumptions!$C$10</f>
        <v>4950</v>
      </c>
      <c r="E18" s="31" t="n">
        <f aca="false">(E8+E13)*Assumptions!$C$9+(E10+E14)*Assumptions!$C$10</f>
        <v>4950</v>
      </c>
      <c r="F18" s="31" t="n">
        <f aca="false">(F8+F13)*Assumptions!$C$9+(F10+F14)*Assumptions!$C$10</f>
        <v>4950</v>
      </c>
      <c r="G18" s="31" t="n">
        <f aca="false">(G8+G13)*Assumptions!$C$9+(G10+G14)*Assumptions!$C$10</f>
        <v>4950</v>
      </c>
      <c r="H18" s="31" t="n">
        <f aca="false">(H8+H13)*Assumptions!$C$9+(H10+H14)*Assumptions!$C$10</f>
        <v>4950</v>
      </c>
      <c r="I18" s="31" t="n">
        <f aca="false">(I8+I13)*Assumptions!$C$9+(I10+I14)*Assumptions!$C$10</f>
        <v>3750</v>
      </c>
      <c r="J18" s="31" t="n">
        <f aca="false">(J8+J13)*Assumptions!$C$9+(J10+J14)*Assumptions!$C$10</f>
        <v>3750</v>
      </c>
      <c r="K18" s="31" t="n">
        <f aca="false">(K8+K13)*Assumptions!$C$9+(K10+K14)*Assumptions!$C$10</f>
        <v>3750</v>
      </c>
      <c r="L18" s="31" t="n">
        <f aca="false">(L8+L13)*Assumptions!$C$9+(L10+L14)*Assumptions!$C$10</f>
        <v>3750</v>
      </c>
      <c r="M18" s="31" t="n">
        <f aca="false">(M8+M13)*Assumptions!$C$9+(M10+M14)*Assumptions!$C$10</f>
        <v>3750</v>
      </c>
      <c r="N18" s="31" t="n">
        <f aca="false">(N8+N13)*Assumptions!$C$9+(N10+N14)*Assumptions!$C$10</f>
        <v>3750</v>
      </c>
      <c r="O18" s="31" t="n">
        <f aca="false">(O8+O13)*Assumptions!$C$9+(O10+O14)*Assumptions!$C$10</f>
        <v>20453.0631420165</v>
      </c>
      <c r="P18" s="31" t="n">
        <f aca="false">(P8+P13)*Assumptions!$C$9+(P10+P14)*Assumptions!$C$10</f>
        <v>6767.6877140055</v>
      </c>
      <c r="Q18" s="31" t="n">
        <f aca="false">(Q8+Q13)*Assumptions!$C$9+(Q10+Q14)*Assumptions!$C$10</f>
        <v>6767.6877140055</v>
      </c>
      <c r="R18" s="31" t="n">
        <f aca="false">(R8+R13)*Assumptions!$C$9+(R10+R14)*Assumptions!$C$10</f>
        <v>6767.6877140055</v>
      </c>
      <c r="S18" s="31" t="n">
        <f aca="false">(S8+S13)*Assumptions!$C$9+(S10+S14)*Assumptions!$C$10</f>
        <v>6767.6877140055</v>
      </c>
      <c r="T18" s="31" t="n">
        <f aca="false">(T8+T13)*Assumptions!$C$9+(T10+T14)*Assumptions!$C$10</f>
        <v>6767.6877140055</v>
      </c>
      <c r="U18" s="31" t="n">
        <f aca="false">(U8+U13)*Assumptions!$C$9+(U10+U14)*Assumptions!$C$10</f>
        <v>5567.6877140055</v>
      </c>
      <c r="V18" s="31" t="n">
        <f aca="false">(V8+V13)*Assumptions!$C$9+(V10+V14)*Assumptions!$C$10</f>
        <v>5567.6877140055</v>
      </c>
      <c r="W18" s="31" t="n">
        <f aca="false">(W8+W13)*Assumptions!$C$9+(W10+W14)*Assumptions!$C$10</f>
        <v>5567.6877140055</v>
      </c>
      <c r="X18" s="31" t="n">
        <f aca="false">(X8+X13)*Assumptions!$C$9+(X10+X14)*Assumptions!$C$10</f>
        <v>5567.6877140055</v>
      </c>
      <c r="Y18" s="31" t="n">
        <f aca="false">(Y8+Y13)*Assumptions!$C$9+(Y10+Y14)*Assumptions!$C$10</f>
        <v>5567.6877140055</v>
      </c>
      <c r="Z18" s="31" t="n">
        <f aca="false">(Z8+Z13)*Assumptions!$C$9+(Z10+Z14)*Assumptions!$C$10</f>
        <v>5567.6877140055</v>
      </c>
      <c r="AA18" s="31" t="n">
        <f aca="false">(AA8+AA13)*Assumptions!$C$9+(AA10+AA14)*Assumptions!$C$10</f>
        <v>19862.410185531</v>
      </c>
      <c r="AB18" s="31" t="n">
        <f aca="false">(AB8+AB13)*Assumptions!$C$9+(AB10+AB14)*Assumptions!$C$10</f>
        <v>7444.05766171289</v>
      </c>
      <c r="AC18" s="31" t="n">
        <f aca="false">(AC8+AC13)*Assumptions!$C$9+(AC10+AC14)*Assumptions!$C$10</f>
        <v>7444.05766171289</v>
      </c>
      <c r="AD18" s="31" t="n">
        <f aca="false">(AD8+AD13)*Assumptions!$C$9+(AD10+AD14)*Assumptions!$C$10</f>
        <v>7444.05766171289</v>
      </c>
      <c r="AE18" s="31" t="n">
        <f aca="false">(AE8+AE13)*Assumptions!$C$9+(AE10+AE14)*Assumptions!$C$10</f>
        <v>7444.05766171289</v>
      </c>
      <c r="AF18" s="31" t="n">
        <f aca="false">(AF8+AF13)*Assumptions!$C$9+(AF10+AF14)*Assumptions!$C$10</f>
        <v>7444.05766171289</v>
      </c>
      <c r="AG18" s="31" t="n">
        <f aca="false">(AG8+AG13)*Assumptions!$C$9+(AG10+AG14)*Assumptions!$C$10</f>
        <v>6244.05766171289</v>
      </c>
      <c r="AH18" s="31" t="n">
        <f aca="false">(AH8+AH13)*Assumptions!$C$9+(AH10+AH14)*Assumptions!$C$10</f>
        <v>6244.05766171289</v>
      </c>
      <c r="AI18" s="31" t="n">
        <f aca="false">(AI8+AI13)*Assumptions!$C$9+(AI10+AI14)*Assumptions!$C$10</f>
        <v>6244.05766171289</v>
      </c>
      <c r="AJ18" s="31" t="n">
        <f aca="false">(AJ8+AJ13)*Assumptions!$C$9+(AJ10+AJ14)*Assumptions!$C$10</f>
        <v>6244.05766171289</v>
      </c>
      <c r="AK18" s="31" t="n">
        <f aca="false">(AK8+AK13)*Assumptions!$C$9+(AK10+AK14)*Assumptions!$C$10</f>
        <v>6244.05766171289</v>
      </c>
      <c r="AL18" s="31" t="n">
        <f aca="false">(AL8+AL13)*Assumptions!$C$9+(AL10+AL14)*Assumptions!$C$10</f>
        <v>6244.05766171289</v>
      </c>
    </row>
    <row r="19" customFormat="false" ht="15" hidden="false" customHeight="false" outlineLevel="0" collapsed="false">
      <c r="A19" s="3" t="s">
        <v>170</v>
      </c>
      <c r="B19" s="4"/>
      <c r="C19" s="25" t="n">
        <f aca="false">SUM(C16:C18)</f>
        <v>28962.795</v>
      </c>
      <c r="D19" s="25" t="n">
        <f aca="false">SUM(D16:D18)</f>
        <v>15944.7175</v>
      </c>
      <c r="E19" s="25" t="n">
        <f aca="false">SUM(E16:E18)</f>
        <v>18187.63987</v>
      </c>
      <c r="F19" s="25" t="n">
        <f aca="false">SUM(F16:F18)</f>
        <v>20392.3421126</v>
      </c>
      <c r="G19" s="25" t="n">
        <f aca="false">SUM(G16:G18)</f>
        <v>22559.588630348</v>
      </c>
      <c r="H19" s="25" t="n">
        <f aca="false">SUM(H16:H18)</f>
        <v>24690.128537741</v>
      </c>
      <c r="I19" s="25" t="n">
        <f aca="false">SUM(I16:I18)</f>
        <v>25252.7799669862</v>
      </c>
      <c r="J19" s="25" t="n">
        <f aca="false">SUM(J16:J18)</f>
        <v>26980.1783676465</v>
      </c>
      <c r="K19" s="25" t="n">
        <f aca="false">SUM(K16:K18)</f>
        <v>28673.0288002936</v>
      </c>
      <c r="L19" s="25" t="n">
        <f aca="false">SUM(L16:L18)</f>
        <v>30332.0222242877</v>
      </c>
      <c r="M19" s="25" t="n">
        <f aca="false">SUM(M16:M18)</f>
        <v>31957.8357798019</v>
      </c>
      <c r="N19" s="25" t="n">
        <f aca="false">SUM(N16:N18)</f>
        <v>33551.1330642059</v>
      </c>
      <c r="O19" s="25" t="n">
        <f aca="false">SUM(O16:O18)</f>
        <v>55085.8338539473</v>
      </c>
      <c r="P19" s="25" t="n">
        <f aca="false">SUM(P16:P18)</f>
        <v>42437.3014116977</v>
      </c>
      <c r="Q19" s="25" t="n">
        <f aca="false">SUM(Q16:Q18)</f>
        <v>43453.4075377438</v>
      </c>
      <c r="R19" s="25" t="n">
        <f aca="false">SUM(R16:R18)</f>
        <v>44449.1915412691</v>
      </c>
      <c r="S19" s="25" t="n">
        <f aca="false">SUM(S16:S18)</f>
        <v>45425.0598647238</v>
      </c>
      <c r="T19" s="25" t="n">
        <f aca="false">SUM(T16:T18)</f>
        <v>46381.4108217095</v>
      </c>
      <c r="U19" s="25" t="n">
        <f aca="false">SUM(U16:U18)</f>
        <v>46118.6347595554</v>
      </c>
      <c r="V19" s="25" t="n">
        <f aca="false">SUM(V16:V18)</f>
        <v>47037.1142186444</v>
      </c>
      <c r="W19" s="25" t="n">
        <f aca="false">SUM(W16:W18)</f>
        <v>47937.2240885516</v>
      </c>
      <c r="X19" s="25" t="n">
        <f aca="false">SUM(X16:X18)</f>
        <v>48819.3317610607</v>
      </c>
      <c r="Y19" s="25" t="n">
        <f aca="false">SUM(Y16:Y18)</f>
        <v>49683.7972801196</v>
      </c>
      <c r="Z19" s="25" t="n">
        <f aca="false">SUM(Z16:Z18)</f>
        <v>50530.9734887973</v>
      </c>
      <c r="AA19" s="25" t="n">
        <f aca="false">SUM(AA16:AA18)</f>
        <v>67854.7370247855</v>
      </c>
      <c r="AB19" s="25" t="n">
        <f aca="false">SUM(AB16:AB18)</f>
        <v>55812.8435641823</v>
      </c>
      <c r="AC19" s="25" t="n">
        <f aca="false">SUM(AC16:AC18)</f>
        <v>56181.7734461329</v>
      </c>
      <c r="AD19" s="25" t="n">
        <f aca="false">SUM(AD16:AD18)</f>
        <v>56543.3247304445</v>
      </c>
      <c r="AE19" s="25" t="n">
        <f aca="false">SUM(AE16:AE18)</f>
        <v>56897.6449890699</v>
      </c>
      <c r="AF19" s="25" t="n">
        <f aca="false">SUM(AF16:AF18)</f>
        <v>57244.8788425228</v>
      </c>
      <c r="AG19" s="25" t="n">
        <f aca="false">SUM(AG16:AG18)</f>
        <v>56385.1680189066</v>
      </c>
      <c r="AH19" s="25" t="n">
        <f aca="false">SUM(AH16:AH18)</f>
        <v>56718.6514117627</v>
      </c>
      <c r="AI19" s="25" t="n">
        <f aca="false">SUM(AI16:AI18)</f>
        <v>57045.4651367617</v>
      </c>
      <c r="AJ19" s="25" t="n">
        <f aca="false">SUM(AJ16:AJ18)</f>
        <v>57365.7425872607</v>
      </c>
      <c r="AK19" s="25" t="n">
        <f aca="false">SUM(AK16:AK18)</f>
        <v>57679.6144887498</v>
      </c>
      <c r="AL19" s="25" t="n">
        <f aca="false">SUM(AL16:AL18)</f>
        <v>57987.208952209</v>
      </c>
    </row>
    <row r="20" customFormat="false" ht="15" hidden="false" customHeight="false" outlineLevel="0" collapsed="false">
      <c r="A20" s="7" t="s">
        <v>171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customFormat="false" ht="15" hidden="false" customHeight="false" outlineLevel="0" collapsed="false">
      <c r="A21" s="2" t="s">
        <v>172</v>
      </c>
      <c r="B21" s="4"/>
      <c r="C21" s="31" t="n">
        <f aca="false">C16*Assumptions!$C$21</f>
        <v>6033.3</v>
      </c>
      <c r="D21" s="31" t="n">
        <f aca="false">D16*Assumptions!$C$21</f>
        <v>7613.45</v>
      </c>
      <c r="E21" s="31" t="n">
        <f aca="false">E16*Assumptions!$C$21</f>
        <v>9166.5938</v>
      </c>
      <c r="F21" s="31" t="n">
        <f aca="false">F16*Assumptions!$C$21</f>
        <v>10693.271524</v>
      </c>
      <c r="G21" s="31" t="n">
        <f aca="false">G16*Assumptions!$C$21</f>
        <v>12194.01249352</v>
      </c>
      <c r="H21" s="31" t="n">
        <f aca="false">H16*Assumptions!$C$21</f>
        <v>13669.3354436496</v>
      </c>
      <c r="I21" s="31" t="n">
        <f aca="false">I16*Assumptions!$C$21</f>
        <v>14889.9087347766</v>
      </c>
      <c r="J21" s="31" t="n">
        <f aca="false">J16*Assumptions!$C$21</f>
        <v>16086.0705600811</v>
      </c>
      <c r="K21" s="31" t="n">
        <f aca="false">K16*Assumptions!$C$21</f>
        <v>17258.3091488795</v>
      </c>
      <c r="L21" s="31" t="n">
        <f aca="false">L16*Assumptions!$C$21</f>
        <v>18407.1029659019</v>
      </c>
      <c r="M21" s="31" t="n">
        <f aca="false">M16*Assumptions!$C$21</f>
        <v>19532.9209065838</v>
      </c>
      <c r="N21" s="31" t="n">
        <f aca="false">N16*Assumptions!$C$21</f>
        <v>20636.2224884522</v>
      </c>
      <c r="O21" s="31" t="n">
        <f aca="false">O16*Assumptions!$C$21</f>
        <v>23981.9593524572</v>
      </c>
      <c r="P21" s="31" t="n">
        <f aca="false">P16*Assumptions!$C$21</f>
        <v>24699.936165408</v>
      </c>
      <c r="Q21" s="31" t="n">
        <f aca="false">Q16*Assumptions!$C$21</f>
        <v>25403.5534420999</v>
      </c>
      <c r="R21" s="31" t="n">
        <f aca="false">R16*Assumptions!$C$21</f>
        <v>26093.0983732579</v>
      </c>
      <c r="S21" s="31" t="n">
        <f aca="false">S16*Assumptions!$C$21</f>
        <v>26768.8524057927</v>
      </c>
      <c r="T21" s="31" t="n">
        <f aca="false">T16*Assumptions!$C$21</f>
        <v>27431.0913576769</v>
      </c>
      <c r="U21" s="31" t="n">
        <f aca="false">U16*Assumptions!$C$21</f>
        <v>28080.0855305233</v>
      </c>
      <c r="V21" s="31" t="n">
        <f aca="false">V16*Assumptions!$C$21</f>
        <v>28716.0998199129</v>
      </c>
      <c r="W21" s="31" t="n">
        <f aca="false">W16*Assumptions!$C$21</f>
        <v>29339.3938235146</v>
      </c>
      <c r="X21" s="31" t="n">
        <f aca="false">X16*Assumptions!$C$21</f>
        <v>29950.2219470443</v>
      </c>
      <c r="Y21" s="31" t="n">
        <f aca="false">Y16*Assumptions!$C$21</f>
        <v>30548.8335081034</v>
      </c>
      <c r="Z21" s="31" t="n">
        <f aca="false">Z16*Assumptions!$C$21</f>
        <v>31135.4728379414</v>
      </c>
      <c r="AA21" s="31" t="n">
        <f aca="false">AA16*Assumptions!$C$21</f>
        <v>33232.9758153697</v>
      </c>
      <c r="AB21" s="31" t="n">
        <f aca="false">AB16*Assumptions!$C$21</f>
        <v>33493.6602990623</v>
      </c>
      <c r="AC21" s="31" t="n">
        <f aca="false">AC16*Assumptions!$C$21</f>
        <v>33749.1310930811</v>
      </c>
      <c r="AD21" s="31" t="n">
        <f aca="false">AD16*Assumptions!$C$21</f>
        <v>33999.4924712195</v>
      </c>
      <c r="AE21" s="31" t="n">
        <f aca="false">AE16*Assumptions!$C$21</f>
        <v>34244.8466217951</v>
      </c>
      <c r="AF21" s="31" t="n">
        <f aca="false">AF16*Assumptions!$C$21</f>
        <v>34485.2936893592</v>
      </c>
      <c r="AG21" s="31" t="n">
        <f aca="false">AG16*Assumptions!$C$21</f>
        <v>34720.931815572</v>
      </c>
      <c r="AH21" s="31" t="n">
        <f aca="false">AH16*Assumptions!$C$21</f>
        <v>34951.8571792606</v>
      </c>
      <c r="AI21" s="31" t="n">
        <f aca="false">AI16*Assumptions!$C$21</f>
        <v>35178.1640356754</v>
      </c>
      <c r="AJ21" s="31" t="n">
        <f aca="false">AJ16*Assumptions!$C$21</f>
        <v>35399.9447549618</v>
      </c>
      <c r="AK21" s="31" t="n">
        <f aca="false">AK16*Assumptions!$C$21</f>
        <v>35617.2898598626</v>
      </c>
      <c r="AL21" s="31" t="n">
        <f aca="false">AL16*Assumptions!$C$21</f>
        <v>35830.2880626653</v>
      </c>
    </row>
    <row r="22" customFormat="false" ht="15" hidden="false" customHeight="false" outlineLevel="0" collapsed="false">
      <c r="A22" s="3" t="s">
        <v>173</v>
      </c>
      <c r="B22" s="4"/>
      <c r="C22" s="25" t="n">
        <f aca="false">C19-C21</f>
        <v>22929.495</v>
      </c>
      <c r="D22" s="25" t="n">
        <f aca="false">D19-D21</f>
        <v>8331.2675</v>
      </c>
      <c r="E22" s="25" t="n">
        <f aca="false">E19-E21</f>
        <v>9021.04607</v>
      </c>
      <c r="F22" s="25" t="n">
        <f aca="false">F19-F21</f>
        <v>9699.0705886</v>
      </c>
      <c r="G22" s="25" t="n">
        <f aca="false">G19-G21</f>
        <v>10365.576136828</v>
      </c>
      <c r="H22" s="25" t="n">
        <f aca="false">H19-H21</f>
        <v>11020.7930940914</v>
      </c>
      <c r="I22" s="25" t="n">
        <f aca="false">I19-I21</f>
        <v>10362.8712322096</v>
      </c>
      <c r="J22" s="25" t="n">
        <f aca="false">J19-J21</f>
        <v>10894.1078075654</v>
      </c>
      <c r="K22" s="25" t="n">
        <f aca="false">K19-K21</f>
        <v>11414.7196514141</v>
      </c>
      <c r="L22" s="25" t="n">
        <f aca="false">L19-L21</f>
        <v>11924.9192583858</v>
      </c>
      <c r="M22" s="25" t="n">
        <f aca="false">M19-M21</f>
        <v>12424.9148732181</v>
      </c>
      <c r="N22" s="25" t="n">
        <f aca="false">N19-N21</f>
        <v>12914.9105757537</v>
      </c>
      <c r="O22" s="25" t="n">
        <f aca="false">O19-O21</f>
        <v>31103.8745014901</v>
      </c>
      <c r="P22" s="25" t="n">
        <f aca="false">P19-P21</f>
        <v>17737.3652462897</v>
      </c>
      <c r="Q22" s="25" t="n">
        <f aca="false">Q19-Q21</f>
        <v>18049.854095644</v>
      </c>
      <c r="R22" s="25" t="n">
        <f aca="false">R19-R21</f>
        <v>18356.0931680112</v>
      </c>
      <c r="S22" s="25" t="n">
        <f aca="false">S19-S21</f>
        <v>18656.2074589311</v>
      </c>
      <c r="T22" s="25" t="n">
        <f aca="false">T19-T21</f>
        <v>18950.3194640326</v>
      </c>
      <c r="U22" s="25" t="n">
        <f aca="false">U19-U21</f>
        <v>18038.549229032</v>
      </c>
      <c r="V22" s="25" t="n">
        <f aca="false">V19-V21</f>
        <v>18321.0143987315</v>
      </c>
      <c r="W22" s="25" t="n">
        <f aca="false">W19-W21</f>
        <v>18597.830265037</v>
      </c>
      <c r="X22" s="25" t="n">
        <f aca="false">X19-X21</f>
        <v>18869.1098140164</v>
      </c>
      <c r="Y22" s="25" t="n">
        <f aca="false">Y19-Y21</f>
        <v>19134.9637720161</v>
      </c>
      <c r="Z22" s="25" t="n">
        <f aca="false">Z19-Z21</f>
        <v>19395.5006508559</v>
      </c>
      <c r="AA22" s="25" t="n">
        <f aca="false">AA19-AA21</f>
        <v>34621.7612094158</v>
      </c>
      <c r="AB22" s="25" t="n">
        <f aca="false">AB19-AB21</f>
        <v>22319.18326512</v>
      </c>
      <c r="AC22" s="25" t="n">
        <f aca="false">AC19-AC21</f>
        <v>22432.6423530518</v>
      </c>
      <c r="AD22" s="25" t="n">
        <f aca="false">AD19-AD21</f>
        <v>22543.8322592251</v>
      </c>
      <c r="AE22" s="25" t="n">
        <f aca="false">AE19-AE21</f>
        <v>22652.7983672748</v>
      </c>
      <c r="AF22" s="25" t="n">
        <f aca="false">AF19-AF21</f>
        <v>22759.5851531636</v>
      </c>
      <c r="AG22" s="25" t="n">
        <f aca="false">AG19-AG21</f>
        <v>21664.2362033346</v>
      </c>
      <c r="AH22" s="25" t="n">
        <f aca="false">AH19-AH21</f>
        <v>21766.7942325021</v>
      </c>
      <c r="AI22" s="25" t="n">
        <f aca="false">AI19-AI21</f>
        <v>21867.3011010864</v>
      </c>
      <c r="AJ22" s="25" t="n">
        <f aca="false">AJ19-AJ21</f>
        <v>21965.7978322989</v>
      </c>
      <c r="AK22" s="25" t="n">
        <f aca="false">AK19-AK21</f>
        <v>22062.3246288872</v>
      </c>
      <c r="AL22" s="25" t="n">
        <f aca="false">AL19-AL21</f>
        <v>22156.9208895437</v>
      </c>
    </row>
    <row r="23" customFormat="false" ht="15" hidden="false" customHeight="false" outlineLevel="0" collapsed="false">
      <c r="A23" s="2" t="s">
        <v>174</v>
      </c>
      <c r="B23" s="4"/>
      <c r="C23" s="32" t="n">
        <f aca="false">IF(C19=0,0,C22/C19)</f>
        <v>0.791687922384563</v>
      </c>
      <c r="D23" s="32" t="n">
        <f aca="false">IF(D19=0,0,D22/D19)</f>
        <v>0.522509570959787</v>
      </c>
      <c r="E23" s="32" t="n">
        <f aca="false">IF(E19=0,0,E22/E19)</f>
        <v>0.495998718606693</v>
      </c>
      <c r="F23" s="32" t="n">
        <f aca="false">IF(F19=0,0,F22/F19)</f>
        <v>0.47562317928195</v>
      </c>
      <c r="G23" s="32" t="n">
        <f aca="false">IF(G19=0,0,G22/G19)</f>
        <v>0.459475405632346</v>
      </c>
      <c r="H23" s="32" t="n">
        <f aca="false">IF(H19=0,0,H22/H19)</f>
        <v>0.446364346675846</v>
      </c>
      <c r="I23" s="32" t="n">
        <f aca="false">IF(I19=0,0,I22/I19)</f>
        <v>0.410365561564205</v>
      </c>
      <c r="J23" s="32" t="n">
        <f aca="false">IF(J19=0,0,J22/J19)</f>
        <v>0.403781904593677</v>
      </c>
      <c r="K23" s="32" t="n">
        <f aca="false">IF(K19=0,0,K22/K19)</f>
        <v>0.39809954263699</v>
      </c>
      <c r="L23" s="32" t="n">
        <f aca="false">IF(L19=0,0,L22/L19)</f>
        <v>0.393146199426071</v>
      </c>
      <c r="M23" s="32" t="n">
        <f aca="false">IF(M19=0,0,M22/M19)</f>
        <v>0.388790873037496</v>
      </c>
      <c r="N23" s="32" t="n">
        <f aca="false">IF(N19=0,0,N22/N19)</f>
        <v>0.384932173558456</v>
      </c>
      <c r="O23" s="32" t="n">
        <f aca="false">IF(O19=0,0,O22/O19)</f>
        <v>0.564643799056539</v>
      </c>
      <c r="P23" s="32" t="n">
        <f aca="false">IF(P19=0,0,P22/P19)</f>
        <v>0.417966379959316</v>
      </c>
      <c r="Q23" s="32" t="n">
        <f aca="false">IF(Q19=0,0,Q22/Q19)</f>
        <v>0.415384088807438</v>
      </c>
      <c r="R23" s="32" t="n">
        <f aca="false">IF(R19=0,0,R22/R19)</f>
        <v>0.412967987302275</v>
      </c>
      <c r="S23" s="32" t="n">
        <f aca="false">IF(S19=0,0,S22/S19)</f>
        <v>0.410702980127917</v>
      </c>
      <c r="T23" s="32" t="n">
        <f aca="false">IF(T19=0,0,T22/T19)</f>
        <v>0.408575744642132</v>
      </c>
      <c r="U23" s="32" t="n">
        <f aca="false">IF(U19=0,0,U22/U19)</f>
        <v>0.39113363444252</v>
      </c>
      <c r="V23" s="32" t="n">
        <f aca="false">IF(V19=0,0,V22/V19)</f>
        <v>0.389501241797472</v>
      </c>
      <c r="W23" s="32" t="n">
        <f aca="false">IF(W19=0,0,W22/W19)</f>
        <v>0.387962186351932</v>
      </c>
      <c r="X23" s="32" t="n">
        <f aca="false">IF(X19=0,0,X22/X19)</f>
        <v>0.386508973665771</v>
      </c>
      <c r="Y23" s="32" t="n">
        <f aca="false">IF(Y19=0,0,Y22/Y19)</f>
        <v>0.385134889431505</v>
      </c>
      <c r="Z23" s="32" t="n">
        <f aca="false">IF(Z19=0,0,Z22/Z19)</f>
        <v>0.383833900511652</v>
      </c>
      <c r="AA23" s="32" t="n">
        <f aca="false">IF(AA19=0,0,AA22/AA19)</f>
        <v>0.510233518358039</v>
      </c>
      <c r="AB23" s="32" t="n">
        <f aca="false">IF(AB19=0,0,AB22/AB19)</f>
        <v>0.399893319168623</v>
      </c>
      <c r="AC23" s="32" t="n">
        <f aca="false">IF(AC19=0,0,AC22/AC19)</f>
        <v>0.399286832313335</v>
      </c>
      <c r="AD23" s="32" t="n">
        <f aca="false">IF(AD19=0,0,AD22/AD19)</f>
        <v>0.398700153673256</v>
      </c>
      <c r="AE23" s="32" t="n">
        <f aca="false">IF(AE19=0,0,AE22/AE19)</f>
        <v>0.398132442417018</v>
      </c>
      <c r="AF23" s="32" t="n">
        <f aca="false">IF(AF19=0,0,AF22/AF19)</f>
        <v>0.397582903717446</v>
      </c>
      <c r="AG23" s="32" t="n">
        <f aca="false">IF(AG19=0,0,AG22/AG19)</f>
        <v>0.384218704395282</v>
      </c>
      <c r="AH23" s="32" t="n">
        <f aca="false">IF(AH19=0,0,AH22/AH19)</f>
        <v>0.383767838104627</v>
      </c>
      <c r="AI23" s="32" t="n">
        <f aca="false">IF(AI19=0,0,AI22/AI19)</f>
        <v>0.383331103509479</v>
      </c>
      <c r="AJ23" s="32" t="n">
        <f aca="false">IF(AJ19=0,0,AJ22/AJ19)</f>
        <v>0.382907931486916</v>
      </c>
      <c r="AK23" s="32" t="n">
        <f aca="false">IF(AK19=0,0,AK22/AK19)</f>
        <v>0.382497782352383</v>
      </c>
      <c r="AL23" s="32" t="n">
        <f aca="false">IF(AL19=0,0,AL22/AL19)</f>
        <v>0.382100143978384</v>
      </c>
    </row>
    <row r="24" customFormat="false" ht="15" hidden="false" customHeight="false" outlineLevel="0" collapsed="false">
      <c r="A24" s="7" t="s">
        <v>175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customFormat="false" ht="15" hidden="false" customHeight="false" outlineLevel="0" collapsed="false">
      <c r="A25" s="2" t="s">
        <v>176</v>
      </c>
      <c r="B25" s="4"/>
      <c r="C25" s="31" t="n">
        <f aca="false">Assumptions!$C$32*(1+Assumptions!$C$33)^(C6-1)</f>
        <v>3600</v>
      </c>
      <c r="D25" s="31" t="n">
        <f aca="false">Assumptions!$C$32*(1+Assumptions!$C$33)^(D6-1)</f>
        <v>3600</v>
      </c>
      <c r="E25" s="31" t="n">
        <f aca="false">Assumptions!$C$32*(1+Assumptions!$C$33)^(E6-1)</f>
        <v>3600</v>
      </c>
      <c r="F25" s="31" t="n">
        <f aca="false">Assumptions!$C$32*(1+Assumptions!$C$33)^(F6-1)</f>
        <v>3600</v>
      </c>
      <c r="G25" s="31" t="n">
        <f aca="false">Assumptions!$C$32*(1+Assumptions!$C$33)^(G6-1)</f>
        <v>3600</v>
      </c>
      <c r="H25" s="31" t="n">
        <f aca="false">Assumptions!$C$32*(1+Assumptions!$C$33)^(H6-1)</f>
        <v>3600</v>
      </c>
      <c r="I25" s="31" t="n">
        <f aca="false">Assumptions!$C$32*(1+Assumptions!$C$33)^(I6-1)</f>
        <v>3600</v>
      </c>
      <c r="J25" s="31" t="n">
        <f aca="false">Assumptions!$C$32*(1+Assumptions!$C$33)^(J6-1)</f>
        <v>3600</v>
      </c>
      <c r="K25" s="31" t="n">
        <f aca="false">Assumptions!$C$32*(1+Assumptions!$C$33)^(K6-1)</f>
        <v>3600</v>
      </c>
      <c r="L25" s="31" t="n">
        <f aca="false">Assumptions!$C$32*(1+Assumptions!$C$33)^(L6-1)</f>
        <v>3600</v>
      </c>
      <c r="M25" s="31" t="n">
        <f aca="false">Assumptions!$C$32*(1+Assumptions!$C$33)^(M6-1)</f>
        <v>3600</v>
      </c>
      <c r="N25" s="31" t="n">
        <f aca="false">Assumptions!$C$32*(1+Assumptions!$C$33)^(N6-1)</f>
        <v>3600</v>
      </c>
      <c r="O25" s="31" t="n">
        <f aca="false">Assumptions!$C$32*(1+Assumptions!$C$33)^(O6-1)</f>
        <v>3708</v>
      </c>
      <c r="P25" s="31" t="n">
        <f aca="false">Assumptions!$C$32*(1+Assumptions!$C$33)^(P6-1)</f>
        <v>3708</v>
      </c>
      <c r="Q25" s="31" t="n">
        <f aca="false">Assumptions!$C$32*(1+Assumptions!$C$33)^(Q6-1)</f>
        <v>3708</v>
      </c>
      <c r="R25" s="31" t="n">
        <f aca="false">Assumptions!$C$32*(1+Assumptions!$C$33)^(R6-1)</f>
        <v>3708</v>
      </c>
      <c r="S25" s="31" t="n">
        <f aca="false">Assumptions!$C$32*(1+Assumptions!$C$33)^(S6-1)</f>
        <v>3708</v>
      </c>
      <c r="T25" s="31" t="n">
        <f aca="false">Assumptions!$C$32*(1+Assumptions!$C$33)^(T6-1)</f>
        <v>3708</v>
      </c>
      <c r="U25" s="31" t="n">
        <f aca="false">Assumptions!$C$32*(1+Assumptions!$C$33)^(U6-1)</f>
        <v>3708</v>
      </c>
      <c r="V25" s="31" t="n">
        <f aca="false">Assumptions!$C$32*(1+Assumptions!$C$33)^(V6-1)</f>
        <v>3708</v>
      </c>
      <c r="W25" s="31" t="n">
        <f aca="false">Assumptions!$C$32*(1+Assumptions!$C$33)^(W6-1)</f>
        <v>3708</v>
      </c>
      <c r="X25" s="31" t="n">
        <f aca="false">Assumptions!$C$32*(1+Assumptions!$C$33)^(X6-1)</f>
        <v>3708</v>
      </c>
      <c r="Y25" s="31" t="n">
        <f aca="false">Assumptions!$C$32*(1+Assumptions!$C$33)^(Y6-1)</f>
        <v>3708</v>
      </c>
      <c r="Z25" s="31" t="n">
        <f aca="false">Assumptions!$C$32*(1+Assumptions!$C$33)^(Z6-1)</f>
        <v>3708</v>
      </c>
      <c r="AA25" s="31" t="n">
        <f aca="false">Assumptions!$C$32*(1+Assumptions!$C$33)^(AA6-1)</f>
        <v>3819.24</v>
      </c>
      <c r="AB25" s="31" t="n">
        <f aca="false">Assumptions!$C$32*(1+Assumptions!$C$33)^(AB6-1)</f>
        <v>3819.24</v>
      </c>
      <c r="AC25" s="31" t="n">
        <f aca="false">Assumptions!$C$32*(1+Assumptions!$C$33)^(AC6-1)</f>
        <v>3819.24</v>
      </c>
      <c r="AD25" s="31" t="n">
        <f aca="false">Assumptions!$C$32*(1+Assumptions!$C$33)^(AD6-1)</f>
        <v>3819.24</v>
      </c>
      <c r="AE25" s="31" t="n">
        <f aca="false">Assumptions!$C$32*(1+Assumptions!$C$33)^(AE6-1)</f>
        <v>3819.24</v>
      </c>
      <c r="AF25" s="31" t="n">
        <f aca="false">Assumptions!$C$32*(1+Assumptions!$C$33)^(AF6-1)</f>
        <v>3819.24</v>
      </c>
      <c r="AG25" s="31" t="n">
        <f aca="false">Assumptions!$C$32*(1+Assumptions!$C$33)^(AG6-1)</f>
        <v>3819.24</v>
      </c>
      <c r="AH25" s="31" t="n">
        <f aca="false">Assumptions!$C$32*(1+Assumptions!$C$33)^(AH6-1)</f>
        <v>3819.24</v>
      </c>
      <c r="AI25" s="31" t="n">
        <f aca="false">Assumptions!$C$32*(1+Assumptions!$C$33)^(AI6-1)</f>
        <v>3819.24</v>
      </c>
      <c r="AJ25" s="31" t="n">
        <f aca="false">Assumptions!$C$32*(1+Assumptions!$C$33)^(AJ6-1)</f>
        <v>3819.24</v>
      </c>
      <c r="AK25" s="31" t="n">
        <f aca="false">Assumptions!$C$32*(1+Assumptions!$C$33)^(AK6-1)</f>
        <v>3819.24</v>
      </c>
      <c r="AL25" s="31" t="n">
        <f aca="false">Assumptions!$C$32*(1+Assumptions!$C$33)^(AL6-1)</f>
        <v>3819.24</v>
      </c>
    </row>
    <row r="26" customFormat="false" ht="15" hidden="false" customHeight="false" outlineLevel="0" collapsed="false">
      <c r="A26" s="2" t="s">
        <v>177</v>
      </c>
      <c r="B26" s="4"/>
      <c r="C26" s="31" t="n">
        <f aca="false">Assumptions!$C$34</f>
        <v>900</v>
      </c>
      <c r="D26" s="31" t="n">
        <f aca="false">Assumptions!$C$34</f>
        <v>900</v>
      </c>
      <c r="E26" s="31" t="n">
        <f aca="false">Assumptions!$C$34</f>
        <v>900</v>
      </c>
      <c r="F26" s="31" t="n">
        <f aca="false">Assumptions!$C$34</f>
        <v>900</v>
      </c>
      <c r="G26" s="31" t="n">
        <f aca="false">Assumptions!$C$34</f>
        <v>900</v>
      </c>
      <c r="H26" s="31" t="n">
        <f aca="false">Assumptions!$C$34</f>
        <v>900</v>
      </c>
      <c r="I26" s="31" t="n">
        <f aca="false">Assumptions!$C$34</f>
        <v>900</v>
      </c>
      <c r="J26" s="31" t="n">
        <f aca="false">Assumptions!$C$34</f>
        <v>900</v>
      </c>
      <c r="K26" s="31" t="n">
        <f aca="false">Assumptions!$C$34</f>
        <v>900</v>
      </c>
      <c r="L26" s="31" t="n">
        <f aca="false">Assumptions!$C$34</f>
        <v>900</v>
      </c>
      <c r="M26" s="31" t="n">
        <f aca="false">Assumptions!$C$34</f>
        <v>900</v>
      </c>
      <c r="N26" s="31" t="n">
        <f aca="false">Assumptions!$C$34</f>
        <v>900</v>
      </c>
      <c r="O26" s="31" t="n">
        <f aca="false">Assumptions!$C$34</f>
        <v>900</v>
      </c>
      <c r="P26" s="31" t="n">
        <f aca="false">Assumptions!$C$34</f>
        <v>900</v>
      </c>
      <c r="Q26" s="31" t="n">
        <f aca="false">Assumptions!$C$34</f>
        <v>900</v>
      </c>
      <c r="R26" s="31" t="n">
        <f aca="false">Assumptions!$C$34</f>
        <v>900</v>
      </c>
      <c r="S26" s="31" t="n">
        <f aca="false">Assumptions!$C$34</f>
        <v>900</v>
      </c>
      <c r="T26" s="31" t="n">
        <f aca="false">Assumptions!$C$34</f>
        <v>900</v>
      </c>
      <c r="U26" s="31" t="n">
        <f aca="false">Assumptions!$C$34</f>
        <v>900</v>
      </c>
      <c r="V26" s="31" t="n">
        <f aca="false">Assumptions!$C$34</f>
        <v>900</v>
      </c>
      <c r="W26" s="31" t="n">
        <f aca="false">Assumptions!$C$34</f>
        <v>900</v>
      </c>
      <c r="X26" s="31" t="n">
        <f aca="false">Assumptions!$C$34</f>
        <v>900</v>
      </c>
      <c r="Y26" s="31" t="n">
        <f aca="false">Assumptions!$C$34</f>
        <v>900</v>
      </c>
      <c r="Z26" s="31" t="n">
        <f aca="false">Assumptions!$C$34</f>
        <v>900</v>
      </c>
      <c r="AA26" s="31" t="n">
        <f aca="false">Assumptions!$C$34</f>
        <v>900</v>
      </c>
      <c r="AB26" s="31" t="n">
        <f aca="false">Assumptions!$C$34</f>
        <v>900</v>
      </c>
      <c r="AC26" s="31" t="n">
        <f aca="false">Assumptions!$C$34</f>
        <v>900</v>
      </c>
      <c r="AD26" s="31" t="n">
        <f aca="false">Assumptions!$C$34</f>
        <v>900</v>
      </c>
      <c r="AE26" s="31" t="n">
        <f aca="false">Assumptions!$C$34</f>
        <v>900</v>
      </c>
      <c r="AF26" s="31" t="n">
        <f aca="false">Assumptions!$C$34</f>
        <v>900</v>
      </c>
      <c r="AG26" s="31" t="n">
        <f aca="false">Assumptions!$C$34</f>
        <v>900</v>
      </c>
      <c r="AH26" s="31" t="n">
        <f aca="false">Assumptions!$C$34</f>
        <v>900</v>
      </c>
      <c r="AI26" s="31" t="n">
        <f aca="false">Assumptions!$C$34</f>
        <v>900</v>
      </c>
      <c r="AJ26" s="31" t="n">
        <f aca="false">Assumptions!$C$34</f>
        <v>900</v>
      </c>
      <c r="AK26" s="31" t="n">
        <f aca="false">Assumptions!$C$34</f>
        <v>900</v>
      </c>
      <c r="AL26" s="31" t="n">
        <f aca="false">Assumptions!$C$34</f>
        <v>900</v>
      </c>
    </row>
    <row r="27" customFormat="false" ht="15" hidden="false" customHeight="false" outlineLevel="0" collapsed="false">
      <c r="A27" s="2" t="s">
        <v>178</v>
      </c>
      <c r="B27" s="4"/>
      <c r="C27" s="31" t="n">
        <f aca="false">(Assumptions!$C$35/12+INDEX(Assumptions!$C$36:$E$36,C6)*Assumptions!$C$37*52/12*Assumptions!$C$38)*(1+Assumptions!$C$39)</f>
        <v>7074.66666666667</v>
      </c>
      <c r="D27" s="31" t="n">
        <f aca="false">(Assumptions!$C$35/12+INDEX(Assumptions!$C$36:$E$36,D6)*Assumptions!$C$37*52/12*Assumptions!$C$38)*(1+Assumptions!$C$39)</f>
        <v>7074.66666666667</v>
      </c>
      <c r="E27" s="31" t="n">
        <f aca="false">(Assumptions!$C$35/12+INDEX(Assumptions!$C$36:$E$36,E6)*Assumptions!$C$37*52/12*Assumptions!$C$38)*(1+Assumptions!$C$39)</f>
        <v>7074.66666666667</v>
      </c>
      <c r="F27" s="31" t="n">
        <f aca="false">(Assumptions!$C$35/12+INDEX(Assumptions!$C$36:$E$36,F6)*Assumptions!$C$37*52/12*Assumptions!$C$38)*(1+Assumptions!$C$39)</f>
        <v>7074.66666666667</v>
      </c>
      <c r="G27" s="31" t="n">
        <f aca="false">(Assumptions!$C$35/12+INDEX(Assumptions!$C$36:$E$36,G6)*Assumptions!$C$37*52/12*Assumptions!$C$38)*(1+Assumptions!$C$39)</f>
        <v>7074.66666666667</v>
      </c>
      <c r="H27" s="31" t="n">
        <f aca="false">(Assumptions!$C$35/12+INDEX(Assumptions!$C$36:$E$36,H6)*Assumptions!$C$37*52/12*Assumptions!$C$38)*(1+Assumptions!$C$39)</f>
        <v>7074.66666666667</v>
      </c>
      <c r="I27" s="31" t="n">
        <f aca="false">(Assumptions!$C$35/12+INDEX(Assumptions!$C$36:$E$36,I6)*Assumptions!$C$37*52/12*Assumptions!$C$38)*(1+Assumptions!$C$39)</f>
        <v>7074.66666666667</v>
      </c>
      <c r="J27" s="31" t="n">
        <f aca="false">(Assumptions!$C$35/12+INDEX(Assumptions!$C$36:$E$36,J6)*Assumptions!$C$37*52/12*Assumptions!$C$38)*(1+Assumptions!$C$39)</f>
        <v>7074.66666666667</v>
      </c>
      <c r="K27" s="31" t="n">
        <f aca="false">(Assumptions!$C$35/12+INDEX(Assumptions!$C$36:$E$36,K6)*Assumptions!$C$37*52/12*Assumptions!$C$38)*(1+Assumptions!$C$39)</f>
        <v>7074.66666666667</v>
      </c>
      <c r="L27" s="31" t="n">
        <f aca="false">(Assumptions!$C$35/12+INDEX(Assumptions!$C$36:$E$36,L6)*Assumptions!$C$37*52/12*Assumptions!$C$38)*(1+Assumptions!$C$39)</f>
        <v>7074.66666666667</v>
      </c>
      <c r="M27" s="31" t="n">
        <f aca="false">(Assumptions!$C$35/12+INDEX(Assumptions!$C$36:$E$36,M6)*Assumptions!$C$37*52/12*Assumptions!$C$38)*(1+Assumptions!$C$39)</f>
        <v>7074.66666666667</v>
      </c>
      <c r="N27" s="31" t="n">
        <f aca="false">(Assumptions!$C$35/12+INDEX(Assumptions!$C$36:$E$36,N6)*Assumptions!$C$37*52/12*Assumptions!$C$38)*(1+Assumptions!$C$39)</f>
        <v>7074.66666666667</v>
      </c>
      <c r="O27" s="31" t="n">
        <f aca="false">(Assumptions!$C$35/12+INDEX(Assumptions!$C$36:$E$36,O6)*Assumptions!$C$37*52/12*Assumptions!$C$38)*(1+Assumptions!$C$39)</f>
        <v>9016</v>
      </c>
      <c r="P27" s="31" t="n">
        <f aca="false">(Assumptions!$C$35/12+INDEX(Assumptions!$C$36:$E$36,P6)*Assumptions!$C$37*52/12*Assumptions!$C$38)*(1+Assumptions!$C$39)</f>
        <v>9016</v>
      </c>
      <c r="Q27" s="31" t="n">
        <f aca="false">(Assumptions!$C$35/12+INDEX(Assumptions!$C$36:$E$36,Q6)*Assumptions!$C$37*52/12*Assumptions!$C$38)*(1+Assumptions!$C$39)</f>
        <v>9016</v>
      </c>
      <c r="R27" s="31" t="n">
        <f aca="false">(Assumptions!$C$35/12+INDEX(Assumptions!$C$36:$E$36,R6)*Assumptions!$C$37*52/12*Assumptions!$C$38)*(1+Assumptions!$C$39)</f>
        <v>9016</v>
      </c>
      <c r="S27" s="31" t="n">
        <f aca="false">(Assumptions!$C$35/12+INDEX(Assumptions!$C$36:$E$36,S6)*Assumptions!$C$37*52/12*Assumptions!$C$38)*(1+Assumptions!$C$39)</f>
        <v>9016</v>
      </c>
      <c r="T27" s="31" t="n">
        <f aca="false">(Assumptions!$C$35/12+INDEX(Assumptions!$C$36:$E$36,T6)*Assumptions!$C$37*52/12*Assumptions!$C$38)*(1+Assumptions!$C$39)</f>
        <v>9016</v>
      </c>
      <c r="U27" s="31" t="n">
        <f aca="false">(Assumptions!$C$35/12+INDEX(Assumptions!$C$36:$E$36,U6)*Assumptions!$C$37*52/12*Assumptions!$C$38)*(1+Assumptions!$C$39)</f>
        <v>9016</v>
      </c>
      <c r="V27" s="31" t="n">
        <f aca="false">(Assumptions!$C$35/12+INDEX(Assumptions!$C$36:$E$36,V6)*Assumptions!$C$37*52/12*Assumptions!$C$38)*(1+Assumptions!$C$39)</f>
        <v>9016</v>
      </c>
      <c r="W27" s="31" t="n">
        <f aca="false">(Assumptions!$C$35/12+INDEX(Assumptions!$C$36:$E$36,W6)*Assumptions!$C$37*52/12*Assumptions!$C$38)*(1+Assumptions!$C$39)</f>
        <v>9016</v>
      </c>
      <c r="X27" s="31" t="n">
        <f aca="false">(Assumptions!$C$35/12+INDEX(Assumptions!$C$36:$E$36,X6)*Assumptions!$C$37*52/12*Assumptions!$C$38)*(1+Assumptions!$C$39)</f>
        <v>9016</v>
      </c>
      <c r="Y27" s="31" t="n">
        <f aca="false">(Assumptions!$C$35/12+INDEX(Assumptions!$C$36:$E$36,Y6)*Assumptions!$C$37*52/12*Assumptions!$C$38)*(1+Assumptions!$C$39)</f>
        <v>9016</v>
      </c>
      <c r="Z27" s="31" t="n">
        <f aca="false">(Assumptions!$C$35/12+INDEX(Assumptions!$C$36:$E$36,Z6)*Assumptions!$C$37*52/12*Assumptions!$C$38)*(1+Assumptions!$C$39)</f>
        <v>9016</v>
      </c>
      <c r="AA27" s="31" t="n">
        <f aca="false">(Assumptions!$C$35/12+INDEX(Assumptions!$C$36:$E$36,AA6)*Assumptions!$C$37*52/12*Assumptions!$C$38)*(1+Assumptions!$C$39)</f>
        <v>9016</v>
      </c>
      <c r="AB27" s="31" t="n">
        <f aca="false">(Assumptions!$C$35/12+INDEX(Assumptions!$C$36:$E$36,AB6)*Assumptions!$C$37*52/12*Assumptions!$C$38)*(1+Assumptions!$C$39)</f>
        <v>9016</v>
      </c>
      <c r="AC27" s="31" t="n">
        <f aca="false">(Assumptions!$C$35/12+INDEX(Assumptions!$C$36:$E$36,AC6)*Assumptions!$C$37*52/12*Assumptions!$C$38)*(1+Assumptions!$C$39)</f>
        <v>9016</v>
      </c>
      <c r="AD27" s="31" t="n">
        <f aca="false">(Assumptions!$C$35/12+INDEX(Assumptions!$C$36:$E$36,AD6)*Assumptions!$C$37*52/12*Assumptions!$C$38)*(1+Assumptions!$C$39)</f>
        <v>9016</v>
      </c>
      <c r="AE27" s="31" t="n">
        <f aca="false">(Assumptions!$C$35/12+INDEX(Assumptions!$C$36:$E$36,AE6)*Assumptions!$C$37*52/12*Assumptions!$C$38)*(1+Assumptions!$C$39)</f>
        <v>9016</v>
      </c>
      <c r="AF27" s="31" t="n">
        <f aca="false">(Assumptions!$C$35/12+INDEX(Assumptions!$C$36:$E$36,AF6)*Assumptions!$C$37*52/12*Assumptions!$C$38)*(1+Assumptions!$C$39)</f>
        <v>9016</v>
      </c>
      <c r="AG27" s="31" t="n">
        <f aca="false">(Assumptions!$C$35/12+INDEX(Assumptions!$C$36:$E$36,AG6)*Assumptions!$C$37*52/12*Assumptions!$C$38)*(1+Assumptions!$C$39)</f>
        <v>9016</v>
      </c>
      <c r="AH27" s="31" t="n">
        <f aca="false">(Assumptions!$C$35/12+INDEX(Assumptions!$C$36:$E$36,AH6)*Assumptions!$C$37*52/12*Assumptions!$C$38)*(1+Assumptions!$C$39)</f>
        <v>9016</v>
      </c>
      <c r="AI27" s="31" t="n">
        <f aca="false">(Assumptions!$C$35/12+INDEX(Assumptions!$C$36:$E$36,AI6)*Assumptions!$C$37*52/12*Assumptions!$C$38)*(1+Assumptions!$C$39)</f>
        <v>9016</v>
      </c>
      <c r="AJ27" s="31" t="n">
        <f aca="false">(Assumptions!$C$35/12+INDEX(Assumptions!$C$36:$E$36,AJ6)*Assumptions!$C$37*52/12*Assumptions!$C$38)*(1+Assumptions!$C$39)</f>
        <v>9016</v>
      </c>
      <c r="AK27" s="31" t="n">
        <f aca="false">(Assumptions!$C$35/12+INDEX(Assumptions!$C$36:$E$36,AK6)*Assumptions!$C$37*52/12*Assumptions!$C$38)*(1+Assumptions!$C$39)</f>
        <v>9016</v>
      </c>
      <c r="AL27" s="31" t="n">
        <f aca="false">(Assumptions!$C$35/12+INDEX(Assumptions!$C$36:$E$36,AL6)*Assumptions!$C$37*52/12*Assumptions!$C$38)*(1+Assumptions!$C$39)</f>
        <v>9016</v>
      </c>
    </row>
    <row r="28" customFormat="false" ht="15" hidden="false" customHeight="false" outlineLevel="0" collapsed="false">
      <c r="A28" s="2" t="s">
        <v>179</v>
      </c>
      <c r="B28" s="4"/>
      <c r="C28" s="31" t="n">
        <f aca="false">Assumptions!$C$40</f>
        <v>650</v>
      </c>
      <c r="D28" s="31" t="n">
        <f aca="false">Assumptions!$C$40</f>
        <v>650</v>
      </c>
      <c r="E28" s="31" t="n">
        <f aca="false">Assumptions!$C$40</f>
        <v>650</v>
      </c>
      <c r="F28" s="31" t="n">
        <f aca="false">Assumptions!$C$40</f>
        <v>650</v>
      </c>
      <c r="G28" s="31" t="n">
        <f aca="false">Assumptions!$C$40</f>
        <v>650</v>
      </c>
      <c r="H28" s="31" t="n">
        <f aca="false">Assumptions!$C$40</f>
        <v>650</v>
      </c>
      <c r="I28" s="31" t="n">
        <f aca="false">Assumptions!$C$40</f>
        <v>650</v>
      </c>
      <c r="J28" s="31" t="n">
        <f aca="false">Assumptions!$C$40</f>
        <v>650</v>
      </c>
      <c r="K28" s="31" t="n">
        <f aca="false">Assumptions!$C$40</f>
        <v>650</v>
      </c>
      <c r="L28" s="31" t="n">
        <f aca="false">Assumptions!$C$40</f>
        <v>650</v>
      </c>
      <c r="M28" s="31" t="n">
        <f aca="false">Assumptions!$C$40</f>
        <v>650</v>
      </c>
      <c r="N28" s="31" t="n">
        <f aca="false">Assumptions!$C$40</f>
        <v>650</v>
      </c>
      <c r="O28" s="31" t="n">
        <f aca="false">Assumptions!$C$40</f>
        <v>650</v>
      </c>
      <c r="P28" s="31" t="n">
        <f aca="false">Assumptions!$C$40</f>
        <v>650</v>
      </c>
      <c r="Q28" s="31" t="n">
        <f aca="false">Assumptions!$C$40</f>
        <v>650</v>
      </c>
      <c r="R28" s="31" t="n">
        <f aca="false">Assumptions!$C$40</f>
        <v>650</v>
      </c>
      <c r="S28" s="31" t="n">
        <f aca="false">Assumptions!$C$40</f>
        <v>650</v>
      </c>
      <c r="T28" s="31" t="n">
        <f aca="false">Assumptions!$C$40</f>
        <v>650</v>
      </c>
      <c r="U28" s="31" t="n">
        <f aca="false">Assumptions!$C$40</f>
        <v>650</v>
      </c>
      <c r="V28" s="31" t="n">
        <f aca="false">Assumptions!$C$40</f>
        <v>650</v>
      </c>
      <c r="W28" s="31" t="n">
        <f aca="false">Assumptions!$C$40</f>
        <v>650</v>
      </c>
      <c r="X28" s="31" t="n">
        <f aca="false">Assumptions!$C$40</f>
        <v>650</v>
      </c>
      <c r="Y28" s="31" t="n">
        <f aca="false">Assumptions!$C$40</f>
        <v>650</v>
      </c>
      <c r="Z28" s="31" t="n">
        <f aca="false">Assumptions!$C$40</f>
        <v>650</v>
      </c>
      <c r="AA28" s="31" t="n">
        <f aca="false">Assumptions!$C$40</f>
        <v>650</v>
      </c>
      <c r="AB28" s="31" t="n">
        <f aca="false">Assumptions!$C$40</f>
        <v>650</v>
      </c>
      <c r="AC28" s="31" t="n">
        <f aca="false">Assumptions!$C$40</f>
        <v>650</v>
      </c>
      <c r="AD28" s="31" t="n">
        <f aca="false">Assumptions!$C$40</f>
        <v>650</v>
      </c>
      <c r="AE28" s="31" t="n">
        <f aca="false">Assumptions!$C$40</f>
        <v>650</v>
      </c>
      <c r="AF28" s="31" t="n">
        <f aca="false">Assumptions!$C$40</f>
        <v>650</v>
      </c>
      <c r="AG28" s="31" t="n">
        <f aca="false">Assumptions!$C$40</f>
        <v>650</v>
      </c>
      <c r="AH28" s="31" t="n">
        <f aca="false">Assumptions!$C$40</f>
        <v>650</v>
      </c>
      <c r="AI28" s="31" t="n">
        <f aca="false">Assumptions!$C$40</f>
        <v>650</v>
      </c>
      <c r="AJ28" s="31" t="n">
        <f aca="false">Assumptions!$C$40</f>
        <v>650</v>
      </c>
      <c r="AK28" s="31" t="n">
        <f aca="false">Assumptions!$C$40</f>
        <v>650</v>
      </c>
      <c r="AL28" s="31" t="n">
        <f aca="false">Assumptions!$C$40</f>
        <v>650</v>
      </c>
    </row>
    <row r="29" customFormat="false" ht="15" hidden="false" customHeight="false" outlineLevel="0" collapsed="false">
      <c r="A29" s="2" t="s">
        <v>180</v>
      </c>
      <c r="B29" s="4"/>
      <c r="C29" s="31" t="n">
        <f aca="false">Assumptions!$C$41</f>
        <v>150</v>
      </c>
      <c r="D29" s="31" t="n">
        <f aca="false">Assumptions!$C$41</f>
        <v>150</v>
      </c>
      <c r="E29" s="31" t="n">
        <f aca="false">Assumptions!$C$41</f>
        <v>150</v>
      </c>
      <c r="F29" s="31" t="n">
        <f aca="false">Assumptions!$C$41</f>
        <v>150</v>
      </c>
      <c r="G29" s="31" t="n">
        <f aca="false">Assumptions!$C$41</f>
        <v>150</v>
      </c>
      <c r="H29" s="31" t="n">
        <f aca="false">Assumptions!$C$41</f>
        <v>150</v>
      </c>
      <c r="I29" s="31" t="n">
        <f aca="false">Assumptions!$C$41</f>
        <v>150</v>
      </c>
      <c r="J29" s="31" t="n">
        <f aca="false">Assumptions!$C$41</f>
        <v>150</v>
      </c>
      <c r="K29" s="31" t="n">
        <f aca="false">Assumptions!$C$41</f>
        <v>150</v>
      </c>
      <c r="L29" s="31" t="n">
        <f aca="false">Assumptions!$C$41</f>
        <v>150</v>
      </c>
      <c r="M29" s="31" t="n">
        <f aca="false">Assumptions!$C$41</f>
        <v>150</v>
      </c>
      <c r="N29" s="31" t="n">
        <f aca="false">Assumptions!$C$41</f>
        <v>150</v>
      </c>
      <c r="O29" s="31" t="n">
        <f aca="false">Assumptions!$C$41</f>
        <v>150</v>
      </c>
      <c r="P29" s="31" t="n">
        <f aca="false">Assumptions!$C$41</f>
        <v>150</v>
      </c>
      <c r="Q29" s="31" t="n">
        <f aca="false">Assumptions!$C$41</f>
        <v>150</v>
      </c>
      <c r="R29" s="31" t="n">
        <f aca="false">Assumptions!$C$41</f>
        <v>150</v>
      </c>
      <c r="S29" s="31" t="n">
        <f aca="false">Assumptions!$C$41</f>
        <v>150</v>
      </c>
      <c r="T29" s="31" t="n">
        <f aca="false">Assumptions!$C$41</f>
        <v>150</v>
      </c>
      <c r="U29" s="31" t="n">
        <f aca="false">Assumptions!$C$41</f>
        <v>150</v>
      </c>
      <c r="V29" s="31" t="n">
        <f aca="false">Assumptions!$C$41</f>
        <v>150</v>
      </c>
      <c r="W29" s="31" t="n">
        <f aca="false">Assumptions!$C$41</f>
        <v>150</v>
      </c>
      <c r="X29" s="31" t="n">
        <f aca="false">Assumptions!$C$41</f>
        <v>150</v>
      </c>
      <c r="Y29" s="31" t="n">
        <f aca="false">Assumptions!$C$41</f>
        <v>150</v>
      </c>
      <c r="Z29" s="31" t="n">
        <f aca="false">Assumptions!$C$41</f>
        <v>150</v>
      </c>
      <c r="AA29" s="31" t="n">
        <f aca="false">Assumptions!$C$41</f>
        <v>150</v>
      </c>
      <c r="AB29" s="31" t="n">
        <f aca="false">Assumptions!$C$41</f>
        <v>150</v>
      </c>
      <c r="AC29" s="31" t="n">
        <f aca="false">Assumptions!$C$41</f>
        <v>150</v>
      </c>
      <c r="AD29" s="31" t="n">
        <f aca="false">Assumptions!$C$41</f>
        <v>150</v>
      </c>
      <c r="AE29" s="31" t="n">
        <f aca="false">Assumptions!$C$41</f>
        <v>150</v>
      </c>
      <c r="AF29" s="31" t="n">
        <f aca="false">Assumptions!$C$41</f>
        <v>150</v>
      </c>
      <c r="AG29" s="31" t="n">
        <f aca="false">Assumptions!$C$41</f>
        <v>150</v>
      </c>
      <c r="AH29" s="31" t="n">
        <f aca="false">Assumptions!$C$41</f>
        <v>150</v>
      </c>
      <c r="AI29" s="31" t="n">
        <f aca="false">Assumptions!$C$41</f>
        <v>150</v>
      </c>
      <c r="AJ29" s="31" t="n">
        <f aca="false">Assumptions!$C$41</f>
        <v>150</v>
      </c>
      <c r="AK29" s="31" t="n">
        <f aca="false">Assumptions!$C$41</f>
        <v>150</v>
      </c>
      <c r="AL29" s="31" t="n">
        <f aca="false">Assumptions!$C$41</f>
        <v>150</v>
      </c>
    </row>
    <row r="30" customFormat="false" ht="15" hidden="false" customHeight="false" outlineLevel="0" collapsed="false">
      <c r="A30" s="2" t="s">
        <v>181</v>
      </c>
      <c r="B30" s="4"/>
      <c r="C30" s="31" t="n">
        <f aca="false">Assumptions!$C$42+C12*Assumptions!$C$30</f>
        <v>231.5</v>
      </c>
      <c r="D30" s="31" t="n">
        <f aca="false">Assumptions!$C$42+D12*Assumptions!$C$30</f>
        <v>239.75</v>
      </c>
      <c r="E30" s="31" t="n">
        <f aca="false">Assumptions!$C$42+E12*Assumptions!$C$30</f>
        <v>247.859</v>
      </c>
      <c r="F30" s="31" t="n">
        <f aca="false">Assumptions!$C$42+F12*Assumptions!$C$30</f>
        <v>255.82982</v>
      </c>
      <c r="G30" s="31" t="n">
        <f aca="false">Assumptions!$C$42+G12*Assumptions!$C$30</f>
        <v>263.6652236</v>
      </c>
      <c r="H30" s="31" t="n">
        <f aca="false">Assumptions!$C$42+H12*Assumptions!$C$30</f>
        <v>271.367919128</v>
      </c>
      <c r="I30" s="31" t="n">
        <f aca="false">Assumptions!$C$42+I12*Assumptions!$C$30</f>
        <v>277.74056074544</v>
      </c>
      <c r="J30" s="31" t="n">
        <f aca="false">Assumptions!$C$42+J12*Assumptions!$C$30</f>
        <v>283.985749530531</v>
      </c>
      <c r="K30" s="31" t="n">
        <f aca="false">Assumptions!$C$42+K12*Assumptions!$C$30</f>
        <v>290.106034539921</v>
      </c>
      <c r="L30" s="31" t="n">
        <f aca="false">Assumptions!$C$42+L12*Assumptions!$C$30</f>
        <v>296.103913849122</v>
      </c>
      <c r="M30" s="31" t="n">
        <f aca="false">Assumptions!$C$42+M12*Assumptions!$C$30</f>
        <v>301.98183557214</v>
      </c>
      <c r="N30" s="31" t="n">
        <f aca="false">Assumptions!$C$42+N12*Assumptions!$C$30</f>
        <v>307.742198860697</v>
      </c>
      <c r="O30" s="31" t="n">
        <f aca="false">Assumptions!$C$42+O12*Assumptions!$C$30</f>
        <v>311.137354883483</v>
      </c>
      <c r="P30" s="31" t="n">
        <f aca="false">Assumptions!$C$42+P12*Assumptions!$C$30</f>
        <v>314.464607785813</v>
      </c>
      <c r="Q30" s="31" t="n">
        <f aca="false">Assumptions!$C$42+Q12*Assumptions!$C$30</f>
        <v>317.725315630097</v>
      </c>
      <c r="R30" s="31" t="n">
        <f aca="false">Assumptions!$C$42+R12*Assumptions!$C$30</f>
        <v>320.920809317495</v>
      </c>
      <c r="S30" s="31" t="n">
        <f aca="false">Assumptions!$C$42+S12*Assumptions!$C$30</f>
        <v>324.052393131145</v>
      </c>
      <c r="T30" s="31" t="n">
        <f aca="false">Assumptions!$C$42+T12*Assumptions!$C$30</f>
        <v>327.121345268522</v>
      </c>
      <c r="U30" s="31" t="n">
        <f aca="false">Assumptions!$C$42+U12*Assumptions!$C$30</f>
        <v>330.128918363152</v>
      </c>
      <c r="V30" s="31" t="n">
        <f aca="false">Assumptions!$C$42+V12*Assumptions!$C$30</f>
        <v>333.076339995889</v>
      </c>
      <c r="W30" s="31" t="n">
        <f aca="false">Assumptions!$C$42+W12*Assumptions!$C$30</f>
        <v>335.964813195971</v>
      </c>
      <c r="X30" s="31" t="n">
        <f aca="false">Assumptions!$C$42+X12*Assumptions!$C$30</f>
        <v>338.795516932052</v>
      </c>
      <c r="Y30" s="31" t="n">
        <f aca="false">Assumptions!$C$42+Y12*Assumptions!$C$30</f>
        <v>341.569606593411</v>
      </c>
      <c r="Z30" s="31" t="n">
        <f aca="false">Assumptions!$C$42+Z12*Assumptions!$C$30</f>
        <v>344.288214461542</v>
      </c>
      <c r="AA30" s="31" t="n">
        <f aca="false">Assumptions!$C$42+AA12*Assumptions!$C$30</f>
        <v>345.452450172312</v>
      </c>
      <c r="AB30" s="31" t="n">
        <f aca="false">Assumptions!$C$42+AB12*Assumptions!$C$30</f>
        <v>346.593401168865</v>
      </c>
      <c r="AC30" s="31" t="n">
        <f aca="false">Assumptions!$C$42+AC12*Assumptions!$C$30</f>
        <v>347.711533145488</v>
      </c>
      <c r="AD30" s="31" t="n">
        <f aca="false">Assumptions!$C$42+AD12*Assumptions!$C$30</f>
        <v>348.807302482578</v>
      </c>
      <c r="AE30" s="31" t="n">
        <f aca="false">Assumptions!$C$42+AE12*Assumptions!$C$30</f>
        <v>349.881156432927</v>
      </c>
      <c r="AF30" s="31" t="n">
        <f aca="false">Assumptions!$C$42+AF12*Assumptions!$C$30</f>
        <v>350.933533304268</v>
      </c>
      <c r="AG30" s="31" t="n">
        <f aca="false">Assumptions!$C$42+AG12*Assumptions!$C$30</f>
        <v>351.964862638183</v>
      </c>
      <c r="AH30" s="31" t="n">
        <f aca="false">Assumptions!$C$42+AH12*Assumptions!$C$30</f>
        <v>352.975565385419</v>
      </c>
      <c r="AI30" s="31" t="n">
        <f aca="false">Assumptions!$C$42+AI12*Assumptions!$C$30</f>
        <v>353.966054077711</v>
      </c>
      <c r="AJ30" s="31" t="n">
        <f aca="false">Assumptions!$C$42+AJ12*Assumptions!$C$30</f>
        <v>354.936732996157</v>
      </c>
      <c r="AK30" s="31" t="n">
        <f aca="false">Assumptions!$C$42+AK12*Assumptions!$C$30</f>
        <v>355.887998336233</v>
      </c>
      <c r="AL30" s="31" t="n">
        <f aca="false">Assumptions!$C$42+AL12*Assumptions!$C$30</f>
        <v>356.820238369509</v>
      </c>
    </row>
    <row r="31" customFormat="false" ht="15" hidden="false" customHeight="false" outlineLevel="0" collapsed="false">
      <c r="A31" s="2" t="s">
        <v>69</v>
      </c>
      <c r="B31" s="4"/>
      <c r="C31" s="31" t="n">
        <f aca="false">(C16+C18)*Assumptions!$C$25</f>
        <v>931.92</v>
      </c>
      <c r="D31" s="31" t="n">
        <f aca="false">(D16+D18)*Assumptions!$C$25</f>
        <v>516.68</v>
      </c>
      <c r="E31" s="31" t="n">
        <f aca="false">(E16+E18)*Assumptions!$C$25</f>
        <v>589.76912</v>
      </c>
      <c r="F31" s="31" t="n">
        <f aca="false">(F16+F18)*Assumptions!$C$25</f>
        <v>661.6127776</v>
      </c>
      <c r="G31" s="31" t="n">
        <f aca="false">(G16+G18)*Assumptions!$C$25</f>
        <v>732.235882048</v>
      </c>
      <c r="H31" s="31" t="n">
        <f aca="false">(H16+H18)*Assumptions!$C$25</f>
        <v>801.66284440704</v>
      </c>
      <c r="I31" s="31" t="n">
        <f aca="false">(I16+I18)*Assumptions!$C$25</f>
        <v>820.701587518899</v>
      </c>
      <c r="J31" s="31" t="n">
        <f aca="false">(J16+J18)*Assumptions!$C$25</f>
        <v>876.991555768521</v>
      </c>
      <c r="K31" s="31" t="n">
        <f aca="false">(K16+K18)*Assumptions!$C$25</f>
        <v>932.155724653151</v>
      </c>
      <c r="L31" s="31" t="n">
        <f aca="false">(L16+L18)*Assumptions!$C$25</f>
        <v>986.216610160088</v>
      </c>
      <c r="M31" s="31" t="n">
        <f aca="false">(M16+M18)*Assumptions!$C$25</f>
        <v>1039.19627795689</v>
      </c>
      <c r="N31" s="31" t="n">
        <f aca="false">(N16+N18)*Assumptions!$C$25</f>
        <v>1091.11635239775</v>
      </c>
      <c r="O31" s="31" t="n">
        <f aca="false">(O16+O18)*Assumptions!$C$25</f>
        <v>1783.06081360134</v>
      </c>
      <c r="P31" s="31" t="n">
        <f aca="false">(P16+P18)*Assumptions!$C$25</f>
        <v>1378.91594404385</v>
      </c>
      <c r="Q31" s="31" t="n">
        <f aca="false">(Q16+Q18)*Assumptions!$C$25</f>
        <v>1412.02734529993</v>
      </c>
      <c r="R31" s="31" t="n">
        <f aca="false">(R16+R18)*Assumptions!$C$25</f>
        <v>1444.4765185309</v>
      </c>
      <c r="S31" s="31" t="n">
        <f aca="false">(S16+S18)*Assumptions!$C$25</f>
        <v>1476.27670829725</v>
      </c>
      <c r="T31" s="31" t="n">
        <f aca="false">(T16+T18)*Assumptions!$C$25</f>
        <v>1507.44089426826</v>
      </c>
      <c r="U31" s="31" t="n">
        <f aca="false">(U16+U18)*Assumptions!$C$25</f>
        <v>1499.58179651986</v>
      </c>
      <c r="V31" s="31" t="n">
        <f aca="false">(V16+V18)*Assumptions!$C$25</f>
        <v>1529.51188072643</v>
      </c>
      <c r="W31" s="31" t="n">
        <f aca="false">(W16+W18)*Assumptions!$C$25</f>
        <v>1558.84336324886</v>
      </c>
      <c r="X31" s="31" t="n">
        <f aca="false">(X16+X18)*Assumptions!$C$25</f>
        <v>1587.58821612085</v>
      </c>
      <c r="Y31" s="31" t="n">
        <f aca="false">(Y16+Y18)*Assumptions!$C$25</f>
        <v>1615.7581719354</v>
      </c>
      <c r="Z31" s="31" t="n">
        <f aca="false">(Z16+Z18)*Assumptions!$C$25</f>
        <v>1643.36472863365</v>
      </c>
      <c r="AA31" s="31" t="n">
        <f aca="false">(AA16+AA18)*Assumptions!$C$25</f>
        <v>2199.50187018969</v>
      </c>
      <c r="AB31" s="31" t="n">
        <f aca="false">(AB16+AB18)*Assumptions!$C$25</f>
        <v>1814.38209454245</v>
      </c>
      <c r="AC31" s="31" t="n">
        <f aca="false">(AC16+AC18)*Assumptions!$C$25</f>
        <v>1826.4042495551</v>
      </c>
      <c r="AD31" s="31" t="n">
        <f aca="false">(AD16+AD18)*Assumptions!$C$25</f>
        <v>1838.18596146749</v>
      </c>
      <c r="AE31" s="31" t="n">
        <f aca="false">(AE16+AE18)*Assumptions!$C$25</f>
        <v>1849.73203914164</v>
      </c>
      <c r="AF31" s="31" t="n">
        <f aca="false">(AF16+AF18)*Assumptions!$C$25</f>
        <v>1861.0471952623</v>
      </c>
      <c r="AG31" s="31" t="n">
        <f aca="false">(AG16+AG18)*Assumptions!$C$25</f>
        <v>1833.73604826055</v>
      </c>
      <c r="AH31" s="31" t="n">
        <f aca="false">(AH16+AH18)*Assumptions!$C$25</f>
        <v>1844.60312419884</v>
      </c>
      <c r="AI31" s="31" t="n">
        <f aca="false">(AI16+AI18)*Assumptions!$C$25</f>
        <v>1855.25285861836</v>
      </c>
      <c r="AJ31" s="31" t="n">
        <f aca="false">(AJ16+AJ18)*Assumptions!$C$25</f>
        <v>1865.68959834949</v>
      </c>
      <c r="AK31" s="31" t="n">
        <f aca="false">(AK16+AK18)*Assumptions!$C$25</f>
        <v>1875.91760328599</v>
      </c>
      <c r="AL31" s="31" t="n">
        <f aca="false">(AL16+AL18)*Assumptions!$C$25</f>
        <v>1885.94104812377</v>
      </c>
    </row>
    <row r="32" customFormat="false" ht="15" hidden="false" customHeight="false" outlineLevel="0" collapsed="false">
      <c r="A32" s="2" t="s">
        <v>104</v>
      </c>
      <c r="B32" s="4"/>
      <c r="C32" s="31" t="n">
        <f aca="false">INDEX(Assumptions!$C$43:$E$43,C6)</f>
        <v>1500</v>
      </c>
      <c r="D32" s="31" t="n">
        <f aca="false">INDEX(Assumptions!$C$43:$E$43,D6)</f>
        <v>1500</v>
      </c>
      <c r="E32" s="31" t="n">
        <f aca="false">INDEX(Assumptions!$C$43:$E$43,E6)</f>
        <v>1500</v>
      </c>
      <c r="F32" s="31" t="n">
        <f aca="false">INDEX(Assumptions!$C$43:$E$43,F6)</f>
        <v>1500</v>
      </c>
      <c r="G32" s="31" t="n">
        <f aca="false">INDEX(Assumptions!$C$43:$E$43,G6)</f>
        <v>1500</v>
      </c>
      <c r="H32" s="31" t="n">
        <f aca="false">INDEX(Assumptions!$C$43:$E$43,H6)</f>
        <v>1500</v>
      </c>
      <c r="I32" s="31" t="n">
        <f aca="false">INDEX(Assumptions!$C$43:$E$43,I6)</f>
        <v>1500</v>
      </c>
      <c r="J32" s="31" t="n">
        <f aca="false">INDEX(Assumptions!$C$43:$E$43,J6)</f>
        <v>1500</v>
      </c>
      <c r="K32" s="31" t="n">
        <f aca="false">INDEX(Assumptions!$C$43:$E$43,K6)</f>
        <v>1500</v>
      </c>
      <c r="L32" s="31" t="n">
        <f aca="false">INDEX(Assumptions!$C$43:$E$43,L6)</f>
        <v>1500</v>
      </c>
      <c r="M32" s="31" t="n">
        <f aca="false">INDEX(Assumptions!$C$43:$E$43,M6)</f>
        <v>1500</v>
      </c>
      <c r="N32" s="31" t="n">
        <f aca="false">INDEX(Assumptions!$C$43:$E$43,N6)</f>
        <v>1500</v>
      </c>
      <c r="O32" s="31" t="n">
        <f aca="false">INDEX(Assumptions!$C$43:$E$43,O6)</f>
        <v>1200</v>
      </c>
      <c r="P32" s="31" t="n">
        <f aca="false">INDEX(Assumptions!$C$43:$E$43,P6)</f>
        <v>1200</v>
      </c>
      <c r="Q32" s="31" t="n">
        <f aca="false">INDEX(Assumptions!$C$43:$E$43,Q6)</f>
        <v>1200</v>
      </c>
      <c r="R32" s="31" t="n">
        <f aca="false">INDEX(Assumptions!$C$43:$E$43,R6)</f>
        <v>1200</v>
      </c>
      <c r="S32" s="31" t="n">
        <f aca="false">INDEX(Assumptions!$C$43:$E$43,S6)</f>
        <v>1200</v>
      </c>
      <c r="T32" s="31" t="n">
        <f aca="false">INDEX(Assumptions!$C$43:$E$43,T6)</f>
        <v>1200</v>
      </c>
      <c r="U32" s="31" t="n">
        <f aca="false">INDEX(Assumptions!$C$43:$E$43,U6)</f>
        <v>1200</v>
      </c>
      <c r="V32" s="31" t="n">
        <f aca="false">INDEX(Assumptions!$C$43:$E$43,V6)</f>
        <v>1200</v>
      </c>
      <c r="W32" s="31" t="n">
        <f aca="false">INDEX(Assumptions!$C$43:$E$43,W6)</f>
        <v>1200</v>
      </c>
      <c r="X32" s="31" t="n">
        <f aca="false">INDEX(Assumptions!$C$43:$E$43,X6)</f>
        <v>1200</v>
      </c>
      <c r="Y32" s="31" t="n">
        <f aca="false">INDEX(Assumptions!$C$43:$E$43,Y6)</f>
        <v>1200</v>
      </c>
      <c r="Z32" s="31" t="n">
        <f aca="false">INDEX(Assumptions!$C$43:$E$43,Z6)</f>
        <v>1200</v>
      </c>
      <c r="AA32" s="31" t="n">
        <f aca="false">INDEX(Assumptions!$C$43:$E$43,AA6)</f>
        <v>1000</v>
      </c>
      <c r="AB32" s="31" t="n">
        <f aca="false">INDEX(Assumptions!$C$43:$E$43,AB6)</f>
        <v>1000</v>
      </c>
      <c r="AC32" s="31" t="n">
        <f aca="false">INDEX(Assumptions!$C$43:$E$43,AC6)</f>
        <v>1000</v>
      </c>
      <c r="AD32" s="31" t="n">
        <f aca="false">INDEX(Assumptions!$C$43:$E$43,AD6)</f>
        <v>1000</v>
      </c>
      <c r="AE32" s="31" t="n">
        <f aca="false">INDEX(Assumptions!$C$43:$E$43,AE6)</f>
        <v>1000</v>
      </c>
      <c r="AF32" s="31" t="n">
        <f aca="false">INDEX(Assumptions!$C$43:$E$43,AF6)</f>
        <v>1000</v>
      </c>
      <c r="AG32" s="31" t="n">
        <f aca="false">INDEX(Assumptions!$C$43:$E$43,AG6)</f>
        <v>1000</v>
      </c>
      <c r="AH32" s="31" t="n">
        <f aca="false">INDEX(Assumptions!$C$43:$E$43,AH6)</f>
        <v>1000</v>
      </c>
      <c r="AI32" s="31" t="n">
        <f aca="false">INDEX(Assumptions!$C$43:$E$43,AI6)</f>
        <v>1000</v>
      </c>
      <c r="AJ32" s="31" t="n">
        <f aca="false">INDEX(Assumptions!$C$43:$E$43,AJ6)</f>
        <v>1000</v>
      </c>
      <c r="AK32" s="31" t="n">
        <f aca="false">INDEX(Assumptions!$C$43:$E$43,AK6)</f>
        <v>1000</v>
      </c>
      <c r="AL32" s="31" t="n">
        <f aca="false">INDEX(Assumptions!$C$43:$E$43,AL6)</f>
        <v>1000</v>
      </c>
    </row>
    <row r="33" customFormat="false" ht="15" hidden="false" customHeight="false" outlineLevel="0" collapsed="false">
      <c r="A33" s="2" t="s">
        <v>105</v>
      </c>
      <c r="B33" s="4"/>
      <c r="C33" s="31" t="n">
        <f aca="false">INDEX(Assumptions!$C$44:$E$44,C6)</f>
        <v>1000</v>
      </c>
      <c r="D33" s="31" t="n">
        <f aca="false">INDEX(Assumptions!$C$44:$E$44,D6)</f>
        <v>1000</v>
      </c>
      <c r="E33" s="31" t="n">
        <f aca="false">INDEX(Assumptions!$C$44:$E$44,E6)</f>
        <v>1000</v>
      </c>
      <c r="F33" s="31" t="n">
        <f aca="false">INDEX(Assumptions!$C$44:$E$44,F6)</f>
        <v>1000</v>
      </c>
      <c r="G33" s="31" t="n">
        <f aca="false">INDEX(Assumptions!$C$44:$E$44,G6)</f>
        <v>1000</v>
      </c>
      <c r="H33" s="31" t="n">
        <f aca="false">INDEX(Assumptions!$C$44:$E$44,H6)</f>
        <v>1000</v>
      </c>
      <c r="I33" s="31" t="n">
        <f aca="false">INDEX(Assumptions!$C$44:$E$44,I6)</f>
        <v>1000</v>
      </c>
      <c r="J33" s="31" t="n">
        <f aca="false">INDEX(Assumptions!$C$44:$E$44,J6)</f>
        <v>1000</v>
      </c>
      <c r="K33" s="31" t="n">
        <f aca="false">INDEX(Assumptions!$C$44:$E$44,K6)</f>
        <v>1000</v>
      </c>
      <c r="L33" s="31" t="n">
        <f aca="false">INDEX(Assumptions!$C$44:$E$44,L6)</f>
        <v>1000</v>
      </c>
      <c r="M33" s="31" t="n">
        <f aca="false">INDEX(Assumptions!$C$44:$E$44,M6)</f>
        <v>1000</v>
      </c>
      <c r="N33" s="31" t="n">
        <f aca="false">INDEX(Assumptions!$C$44:$E$44,N6)</f>
        <v>1000</v>
      </c>
      <c r="O33" s="31" t="n">
        <f aca="false">INDEX(Assumptions!$C$44:$E$44,O6)</f>
        <v>600</v>
      </c>
      <c r="P33" s="31" t="n">
        <f aca="false">INDEX(Assumptions!$C$44:$E$44,P6)</f>
        <v>600</v>
      </c>
      <c r="Q33" s="31" t="n">
        <f aca="false">INDEX(Assumptions!$C$44:$E$44,Q6)</f>
        <v>600</v>
      </c>
      <c r="R33" s="31" t="n">
        <f aca="false">INDEX(Assumptions!$C$44:$E$44,R6)</f>
        <v>600</v>
      </c>
      <c r="S33" s="31" t="n">
        <f aca="false">INDEX(Assumptions!$C$44:$E$44,S6)</f>
        <v>600</v>
      </c>
      <c r="T33" s="31" t="n">
        <f aca="false">INDEX(Assumptions!$C$44:$E$44,T6)</f>
        <v>600</v>
      </c>
      <c r="U33" s="31" t="n">
        <f aca="false">INDEX(Assumptions!$C$44:$E$44,U6)</f>
        <v>600</v>
      </c>
      <c r="V33" s="31" t="n">
        <f aca="false">INDEX(Assumptions!$C$44:$E$44,V6)</f>
        <v>600</v>
      </c>
      <c r="W33" s="31" t="n">
        <f aca="false">INDEX(Assumptions!$C$44:$E$44,W6)</f>
        <v>600</v>
      </c>
      <c r="X33" s="31" t="n">
        <f aca="false">INDEX(Assumptions!$C$44:$E$44,X6)</f>
        <v>600</v>
      </c>
      <c r="Y33" s="31" t="n">
        <f aca="false">INDEX(Assumptions!$C$44:$E$44,Y6)</f>
        <v>600</v>
      </c>
      <c r="Z33" s="31" t="n">
        <f aca="false">INDEX(Assumptions!$C$44:$E$44,Z6)</f>
        <v>600</v>
      </c>
      <c r="AA33" s="31" t="n">
        <f aca="false">INDEX(Assumptions!$C$44:$E$44,AA6)</f>
        <v>600</v>
      </c>
      <c r="AB33" s="31" t="n">
        <f aca="false">INDEX(Assumptions!$C$44:$E$44,AB6)</f>
        <v>600</v>
      </c>
      <c r="AC33" s="31" t="n">
        <f aca="false">INDEX(Assumptions!$C$44:$E$44,AC6)</f>
        <v>600</v>
      </c>
      <c r="AD33" s="31" t="n">
        <f aca="false">INDEX(Assumptions!$C$44:$E$44,AD6)</f>
        <v>600</v>
      </c>
      <c r="AE33" s="31" t="n">
        <f aca="false">INDEX(Assumptions!$C$44:$E$44,AE6)</f>
        <v>600</v>
      </c>
      <c r="AF33" s="31" t="n">
        <f aca="false">INDEX(Assumptions!$C$44:$E$44,AF6)</f>
        <v>600</v>
      </c>
      <c r="AG33" s="31" t="n">
        <f aca="false">INDEX(Assumptions!$C$44:$E$44,AG6)</f>
        <v>600</v>
      </c>
      <c r="AH33" s="31" t="n">
        <f aca="false">INDEX(Assumptions!$C$44:$E$44,AH6)</f>
        <v>600</v>
      </c>
      <c r="AI33" s="31" t="n">
        <f aca="false">INDEX(Assumptions!$C$44:$E$44,AI6)</f>
        <v>600</v>
      </c>
      <c r="AJ33" s="31" t="n">
        <f aca="false">INDEX(Assumptions!$C$44:$E$44,AJ6)</f>
        <v>600</v>
      </c>
      <c r="AK33" s="31" t="n">
        <f aca="false">INDEX(Assumptions!$C$44:$E$44,AK6)</f>
        <v>600</v>
      </c>
      <c r="AL33" s="31" t="n">
        <f aca="false">INDEX(Assumptions!$C$44:$E$44,AL6)</f>
        <v>600</v>
      </c>
    </row>
    <row r="34" customFormat="false" ht="15" hidden="false" customHeight="false" outlineLevel="0" collapsed="false">
      <c r="A34" s="2" t="s">
        <v>182</v>
      </c>
      <c r="B34" s="4"/>
      <c r="C34" s="31" t="n">
        <f aca="false">IF(C4&gt;=Assumptions!$C$7,C16/Assumptions!$C$27*Assumptions!$C$28*Assumptions!$C$29,0)</f>
        <v>0</v>
      </c>
      <c r="D34" s="31" t="n">
        <f aca="false">IF(D4&gt;=Assumptions!$C$7,D16/Assumptions!$C$27*Assumptions!$C$28*Assumptions!$C$29,0)</f>
        <v>0</v>
      </c>
      <c r="E34" s="31" t="n">
        <f aca="false">IF(E4&gt;=Assumptions!$C$7,E16/Assumptions!$C$27*Assumptions!$C$28*Assumptions!$C$29,0)</f>
        <v>0</v>
      </c>
      <c r="F34" s="31" t="n">
        <f aca="false">IF(F4&gt;=Assumptions!$C$7,F16/Assumptions!$C$27*Assumptions!$C$28*Assumptions!$C$29,0)</f>
        <v>0</v>
      </c>
      <c r="G34" s="31" t="n">
        <f aca="false">IF(G4&gt;=Assumptions!$C$7,G16/Assumptions!$C$27*Assumptions!$C$28*Assumptions!$C$29,0)</f>
        <v>0</v>
      </c>
      <c r="H34" s="31" t="n">
        <f aca="false">IF(H4&gt;=Assumptions!$C$7,H16/Assumptions!$C$27*Assumptions!$C$28*Assumptions!$C$29,0)</f>
        <v>0</v>
      </c>
      <c r="I34" s="31" t="n">
        <f aca="false">IF(I4&gt;=Assumptions!$C$7,I16/Assumptions!$C$27*Assumptions!$C$28*Assumptions!$C$29,0)</f>
        <v>328.453869149484</v>
      </c>
      <c r="J34" s="31" t="n">
        <f aca="false">IF(J4&gt;=Assumptions!$C$7,J16/Assumptions!$C$27*Assumptions!$C$28*Assumptions!$C$29,0)</f>
        <v>354.839791766494</v>
      </c>
      <c r="K34" s="31" t="n">
        <f aca="false">IF(K4&gt;=Assumptions!$C$7,K16/Assumptions!$C$27*Assumptions!$C$28*Assumptions!$C$29,0)</f>
        <v>380.697995931164</v>
      </c>
      <c r="L34" s="31" t="n">
        <f aca="false">IF(L4&gt;=Assumptions!$C$7,L16/Assumptions!$C$27*Assumptions!$C$28*Assumptions!$C$29,0)</f>
        <v>406.039036012541</v>
      </c>
      <c r="M34" s="31" t="n">
        <f aca="false">IF(M4&gt;=Assumptions!$C$7,M16/Assumptions!$C$27*Assumptions!$C$28*Assumptions!$C$29,0)</f>
        <v>430.87325529229</v>
      </c>
      <c r="N34" s="31" t="n">
        <f aca="false">IF(N4&gt;=Assumptions!$C$7,N16/Assumptions!$C$27*Assumptions!$C$28*Assumptions!$C$29,0)</f>
        <v>455.210790186444</v>
      </c>
      <c r="O34" s="31" t="n">
        <f aca="false">IF(O4&gt;=Assumptions!$C$7,O16/Assumptions!$C$27*Assumptions!$C$28*Assumptions!$C$29,0)</f>
        <v>529.013809245379</v>
      </c>
      <c r="P34" s="31" t="n">
        <f aca="false">IF(P4&gt;=Assumptions!$C$7,P16/Assumptions!$C$27*Assumptions!$C$28*Assumptions!$C$29,0)</f>
        <v>544.851533060471</v>
      </c>
      <c r="Q34" s="31" t="n">
        <f aca="false">IF(Q4&gt;=Assumptions!$C$7,Q16/Assumptions!$C$27*Assumptions!$C$28*Assumptions!$C$29,0)</f>
        <v>560.372502399262</v>
      </c>
      <c r="R34" s="31" t="n">
        <f aca="false">IF(R4&gt;=Assumptions!$C$7,R16/Assumptions!$C$27*Assumptions!$C$28*Assumptions!$C$29,0)</f>
        <v>575.583052351277</v>
      </c>
      <c r="S34" s="31" t="n">
        <f aca="false">IF(S4&gt;=Assumptions!$C$7,S16/Assumptions!$C$27*Assumptions!$C$28*Assumptions!$C$29,0)</f>
        <v>590.489391304251</v>
      </c>
      <c r="T34" s="31" t="n">
        <f aca="false">IF(T4&gt;=Assumptions!$C$7,T16/Assumptions!$C$27*Assumptions!$C$28*Assumptions!$C$29,0)</f>
        <v>605.097603478166</v>
      </c>
      <c r="U34" s="31" t="n">
        <f aca="false">IF(U4&gt;=Assumptions!$C$7,U16/Assumptions!$C$27*Assumptions!$C$28*Assumptions!$C$29,0)</f>
        <v>619.413651408603</v>
      </c>
      <c r="V34" s="31" t="n">
        <f aca="false">IF(V4&gt;=Assumptions!$C$7,V16/Assumptions!$C$27*Assumptions!$C$28*Assumptions!$C$29,0)</f>
        <v>633.443378380431</v>
      </c>
      <c r="W34" s="31" t="n">
        <f aca="false">IF(W4&gt;=Assumptions!$C$7,W16/Assumptions!$C$27*Assumptions!$C$28*Assumptions!$C$29,0)</f>
        <v>647.192510812822</v>
      </c>
      <c r="X34" s="31" t="n">
        <f aca="false">IF(X4&gt;=Assumptions!$C$7,X16/Assumptions!$C$27*Assumptions!$C$28*Assumptions!$C$29,0)</f>
        <v>660.666660596566</v>
      </c>
      <c r="Y34" s="31" t="n">
        <f aca="false">IF(Y4&gt;=Assumptions!$C$7,Y16/Assumptions!$C$27*Assumptions!$C$28*Assumptions!$C$29,0)</f>
        <v>673.871327384634</v>
      </c>
      <c r="Z34" s="31" t="n">
        <f aca="false">IF(Z4&gt;=Assumptions!$C$7,Z16/Assumptions!$C$27*Assumptions!$C$28*Assumptions!$C$29,0)</f>
        <v>686.811900836942</v>
      </c>
      <c r="AA34" s="31" t="n">
        <f aca="false">IF(AA4&gt;=Assumptions!$C$7,AA16/Assumptions!$C$27*Assumptions!$C$28*Assumptions!$C$29,0)</f>
        <v>733.08034886845</v>
      </c>
      <c r="AB34" s="31" t="n">
        <f aca="false">IF(AB4&gt;=Assumptions!$C$7,AB16/Assumptions!$C$27*Assumptions!$C$28*Assumptions!$C$29,0)</f>
        <v>738.830741891081</v>
      </c>
      <c r="AC34" s="31" t="n">
        <f aca="false">IF(AC4&gt;=Assumptions!$C$7,AC16/Assumptions!$C$27*Assumptions!$C$28*Assumptions!$C$29,0)</f>
        <v>744.46612705326</v>
      </c>
      <c r="AD34" s="31" t="n">
        <f aca="false">IF(AD4&gt;=Assumptions!$C$7,AD16/Assumptions!$C$27*Assumptions!$C$28*Assumptions!$C$29,0)</f>
        <v>749.988804512194</v>
      </c>
      <c r="AE34" s="31" t="n">
        <f aca="false">IF(AE4&gt;=Assumptions!$C$7,AE16/Assumptions!$C$27*Assumptions!$C$28*Assumptions!$C$29,0)</f>
        <v>755.40102842195</v>
      </c>
      <c r="AF34" s="31" t="n">
        <f aca="false">IF(AF4&gt;=Assumptions!$C$7,AF16/Assumptions!$C$27*Assumptions!$C$28*Assumptions!$C$29,0)</f>
        <v>760.705007853511</v>
      </c>
      <c r="AG34" s="31" t="n">
        <f aca="false">IF(AG4&gt;=Assumptions!$C$7,AG16/Assumptions!$C$27*Assumptions!$C$28*Assumptions!$C$29,0)</f>
        <v>765.902907696441</v>
      </c>
      <c r="AH34" s="31" t="n">
        <f aca="false">IF(AH4&gt;=Assumptions!$C$7,AH16/Assumptions!$C$27*Assumptions!$C$28*Assumptions!$C$29,0)</f>
        <v>770.996849542512</v>
      </c>
      <c r="AI34" s="31" t="n">
        <f aca="false">IF(AI4&gt;=Assumptions!$C$7,AI16/Assumptions!$C$27*Assumptions!$C$28*Assumptions!$C$29,0)</f>
        <v>775.988912551662</v>
      </c>
      <c r="AJ34" s="31" t="n">
        <f aca="false">IF(AJ4&gt;=Assumptions!$C$7,AJ16/Assumptions!$C$27*Assumptions!$C$28*Assumptions!$C$29,0)</f>
        <v>780.881134300629</v>
      </c>
      <c r="AK34" s="31" t="n">
        <f aca="false">IF(AK4&gt;=Assumptions!$C$7,AK16/Assumptions!$C$27*Assumptions!$C$28*Assumptions!$C$29,0)</f>
        <v>785.675511614616</v>
      </c>
      <c r="AL34" s="31" t="n">
        <f aca="false">IF(AL4&gt;=Assumptions!$C$7,AL16/Assumptions!$C$27*Assumptions!$C$28*Assumptions!$C$29,0)</f>
        <v>790.374001382324</v>
      </c>
    </row>
    <row r="35" customFormat="false" ht="15" hidden="false" customHeight="false" outlineLevel="0" collapsed="false">
      <c r="A35" s="2" t="s">
        <v>72</v>
      </c>
      <c r="B35" s="4"/>
      <c r="C35" s="31" t="n">
        <f aca="false">C16*Assumptions!$C$26</f>
        <v>133.0875</v>
      </c>
      <c r="D35" s="31" t="n">
        <f aca="false">D16*Assumptions!$C$26</f>
        <v>167.94375</v>
      </c>
      <c r="E35" s="31" t="n">
        <f aca="false">E16*Assumptions!$C$26</f>
        <v>202.204275</v>
      </c>
      <c r="F35" s="31" t="n">
        <f aca="false">F16*Assumptions!$C$26</f>
        <v>235.8809895</v>
      </c>
      <c r="G35" s="31" t="n">
        <f aca="false">G16*Assumptions!$C$26</f>
        <v>268.98556971</v>
      </c>
      <c r="H35" s="31" t="n">
        <f aca="false">H16*Assumptions!$C$26</f>
        <v>301.5294583158</v>
      </c>
      <c r="I35" s="31" t="n">
        <f aca="false">I16*Assumptions!$C$26</f>
        <v>328.453869149484</v>
      </c>
      <c r="J35" s="31" t="n">
        <f aca="false">J16*Assumptions!$C$26</f>
        <v>354.839791766494</v>
      </c>
      <c r="K35" s="31" t="n">
        <f aca="false">K16*Assumptions!$C$26</f>
        <v>380.697995931164</v>
      </c>
      <c r="L35" s="31" t="n">
        <f aca="false">L16*Assumptions!$C$26</f>
        <v>406.039036012541</v>
      </c>
      <c r="M35" s="31" t="n">
        <f aca="false">M16*Assumptions!$C$26</f>
        <v>430.87325529229</v>
      </c>
      <c r="N35" s="31" t="n">
        <f aca="false">N16*Assumptions!$C$26</f>
        <v>455.210790186444</v>
      </c>
      <c r="O35" s="31" t="n">
        <f aca="false">O16*Assumptions!$C$26</f>
        <v>529.013809245379</v>
      </c>
      <c r="P35" s="31" t="n">
        <f aca="false">P16*Assumptions!$C$26</f>
        <v>544.851533060471</v>
      </c>
      <c r="Q35" s="31" t="n">
        <f aca="false">Q16*Assumptions!$C$26</f>
        <v>560.372502399262</v>
      </c>
      <c r="R35" s="31" t="n">
        <f aca="false">R16*Assumptions!$C$26</f>
        <v>575.583052351277</v>
      </c>
      <c r="S35" s="31" t="n">
        <f aca="false">S16*Assumptions!$C$26</f>
        <v>590.489391304251</v>
      </c>
      <c r="T35" s="31" t="n">
        <f aca="false">T16*Assumptions!$C$26</f>
        <v>605.097603478166</v>
      </c>
      <c r="U35" s="31" t="n">
        <f aca="false">U16*Assumptions!$C$26</f>
        <v>619.413651408603</v>
      </c>
      <c r="V35" s="31" t="n">
        <f aca="false">V16*Assumptions!$C$26</f>
        <v>633.443378380431</v>
      </c>
      <c r="W35" s="31" t="n">
        <f aca="false">W16*Assumptions!$C$26</f>
        <v>647.192510812822</v>
      </c>
      <c r="X35" s="31" t="n">
        <f aca="false">X16*Assumptions!$C$26</f>
        <v>660.666660596566</v>
      </c>
      <c r="Y35" s="31" t="n">
        <f aca="false">Y16*Assumptions!$C$26</f>
        <v>673.871327384634</v>
      </c>
      <c r="Z35" s="31" t="n">
        <f aca="false">Z16*Assumptions!$C$26</f>
        <v>686.811900836942</v>
      </c>
      <c r="AA35" s="31" t="n">
        <f aca="false">AA16*Assumptions!$C$26</f>
        <v>733.08034886845</v>
      </c>
      <c r="AB35" s="31" t="n">
        <f aca="false">AB16*Assumptions!$C$26</f>
        <v>738.830741891081</v>
      </c>
      <c r="AC35" s="31" t="n">
        <f aca="false">AC16*Assumptions!$C$26</f>
        <v>744.46612705326</v>
      </c>
      <c r="AD35" s="31" t="n">
        <f aca="false">AD16*Assumptions!$C$26</f>
        <v>749.988804512194</v>
      </c>
      <c r="AE35" s="31" t="n">
        <f aca="false">AE16*Assumptions!$C$26</f>
        <v>755.40102842195</v>
      </c>
      <c r="AF35" s="31" t="n">
        <f aca="false">AF16*Assumptions!$C$26</f>
        <v>760.705007853511</v>
      </c>
      <c r="AG35" s="31" t="n">
        <f aca="false">AG16*Assumptions!$C$26</f>
        <v>765.902907696441</v>
      </c>
      <c r="AH35" s="31" t="n">
        <f aca="false">AH16*Assumptions!$C$26</f>
        <v>770.996849542512</v>
      </c>
      <c r="AI35" s="31" t="n">
        <f aca="false">AI16*Assumptions!$C$26</f>
        <v>775.988912551662</v>
      </c>
      <c r="AJ35" s="31" t="n">
        <f aca="false">AJ16*Assumptions!$C$26</f>
        <v>780.881134300629</v>
      </c>
      <c r="AK35" s="31" t="n">
        <f aca="false">AK16*Assumptions!$C$26</f>
        <v>785.675511614616</v>
      </c>
      <c r="AL35" s="31" t="n">
        <f aca="false">AL16*Assumptions!$C$26</f>
        <v>790.374001382324</v>
      </c>
    </row>
    <row r="36" customFormat="false" ht="15" hidden="false" customHeight="false" outlineLevel="0" collapsed="false">
      <c r="A36" s="2" t="s">
        <v>106</v>
      </c>
      <c r="B36" s="4"/>
      <c r="C36" s="31" t="n">
        <f aca="false">Assumptions!$C$45</f>
        <v>300</v>
      </c>
      <c r="D36" s="31" t="n">
        <f aca="false">Assumptions!$C$45</f>
        <v>300</v>
      </c>
      <c r="E36" s="31" t="n">
        <f aca="false">Assumptions!$C$45</f>
        <v>300</v>
      </c>
      <c r="F36" s="31" t="n">
        <f aca="false">Assumptions!$C$45</f>
        <v>300</v>
      </c>
      <c r="G36" s="31" t="n">
        <f aca="false">Assumptions!$C$45</f>
        <v>300</v>
      </c>
      <c r="H36" s="31" t="n">
        <f aca="false">Assumptions!$C$45</f>
        <v>300</v>
      </c>
      <c r="I36" s="31" t="n">
        <f aca="false">Assumptions!$C$45</f>
        <v>300</v>
      </c>
      <c r="J36" s="31" t="n">
        <f aca="false">Assumptions!$C$45</f>
        <v>300</v>
      </c>
      <c r="K36" s="31" t="n">
        <f aca="false">Assumptions!$C$45</f>
        <v>300</v>
      </c>
      <c r="L36" s="31" t="n">
        <f aca="false">Assumptions!$C$45</f>
        <v>300</v>
      </c>
      <c r="M36" s="31" t="n">
        <f aca="false">Assumptions!$C$45</f>
        <v>300</v>
      </c>
      <c r="N36" s="31" t="n">
        <f aca="false">Assumptions!$C$45</f>
        <v>300</v>
      </c>
      <c r="O36" s="31" t="n">
        <f aca="false">Assumptions!$C$45</f>
        <v>300</v>
      </c>
      <c r="P36" s="31" t="n">
        <f aca="false">Assumptions!$C$45</f>
        <v>300</v>
      </c>
      <c r="Q36" s="31" t="n">
        <f aca="false">Assumptions!$C$45</f>
        <v>300</v>
      </c>
      <c r="R36" s="31" t="n">
        <f aca="false">Assumptions!$C$45</f>
        <v>300</v>
      </c>
      <c r="S36" s="31" t="n">
        <f aca="false">Assumptions!$C$45</f>
        <v>300</v>
      </c>
      <c r="T36" s="31" t="n">
        <f aca="false">Assumptions!$C$45</f>
        <v>300</v>
      </c>
      <c r="U36" s="31" t="n">
        <f aca="false">Assumptions!$C$45</f>
        <v>300</v>
      </c>
      <c r="V36" s="31" t="n">
        <f aca="false">Assumptions!$C$45</f>
        <v>300</v>
      </c>
      <c r="W36" s="31" t="n">
        <f aca="false">Assumptions!$C$45</f>
        <v>300</v>
      </c>
      <c r="X36" s="31" t="n">
        <f aca="false">Assumptions!$C$45</f>
        <v>300</v>
      </c>
      <c r="Y36" s="31" t="n">
        <f aca="false">Assumptions!$C$45</f>
        <v>300</v>
      </c>
      <c r="Z36" s="31" t="n">
        <f aca="false">Assumptions!$C$45</f>
        <v>300</v>
      </c>
      <c r="AA36" s="31" t="n">
        <f aca="false">Assumptions!$C$45</f>
        <v>300</v>
      </c>
      <c r="AB36" s="31" t="n">
        <f aca="false">Assumptions!$C$45</f>
        <v>300</v>
      </c>
      <c r="AC36" s="31" t="n">
        <f aca="false">Assumptions!$C$45</f>
        <v>300</v>
      </c>
      <c r="AD36" s="31" t="n">
        <f aca="false">Assumptions!$C$45</f>
        <v>300</v>
      </c>
      <c r="AE36" s="31" t="n">
        <f aca="false">Assumptions!$C$45</f>
        <v>300</v>
      </c>
      <c r="AF36" s="31" t="n">
        <f aca="false">Assumptions!$C$45</f>
        <v>300</v>
      </c>
      <c r="AG36" s="31" t="n">
        <f aca="false">Assumptions!$C$45</f>
        <v>300</v>
      </c>
      <c r="AH36" s="31" t="n">
        <f aca="false">Assumptions!$C$45</f>
        <v>300</v>
      </c>
      <c r="AI36" s="31" t="n">
        <f aca="false">Assumptions!$C$45</f>
        <v>300</v>
      </c>
      <c r="AJ36" s="31" t="n">
        <f aca="false">Assumptions!$C$45</f>
        <v>300</v>
      </c>
      <c r="AK36" s="31" t="n">
        <f aca="false">Assumptions!$C$45</f>
        <v>300</v>
      </c>
      <c r="AL36" s="31" t="n">
        <f aca="false">Assumptions!$C$45</f>
        <v>300</v>
      </c>
    </row>
    <row r="37" customFormat="false" ht="15" hidden="false" customHeight="false" outlineLevel="0" collapsed="false">
      <c r="A37" s="3" t="s">
        <v>183</v>
      </c>
      <c r="B37" s="4"/>
      <c r="C37" s="25" t="n">
        <f aca="false">SUM(C25:C36)</f>
        <v>16471.1741666667</v>
      </c>
      <c r="D37" s="25" t="n">
        <f aca="false">SUM(D25:D36)</f>
        <v>16099.0404166667</v>
      </c>
      <c r="E37" s="25" t="n">
        <f aca="false">SUM(E25:E36)</f>
        <v>16214.4990616667</v>
      </c>
      <c r="F37" s="25" t="n">
        <f aca="false">SUM(F25:F36)</f>
        <v>16327.9902537667</v>
      </c>
      <c r="G37" s="25" t="n">
        <f aca="false">SUM(G25:G36)</f>
        <v>16439.5533420247</v>
      </c>
      <c r="H37" s="25" t="n">
        <f aca="false">SUM(H25:H36)</f>
        <v>16549.2268885175</v>
      </c>
      <c r="I37" s="25" t="n">
        <f aca="false">SUM(I25:I36)</f>
        <v>16930.01655323</v>
      </c>
      <c r="J37" s="25" t="n">
        <f aca="false">SUM(J25:J36)</f>
        <v>17045.3235554987</v>
      </c>
      <c r="K37" s="25" t="n">
        <f aca="false">SUM(K25:K36)</f>
        <v>17158.3244177221</v>
      </c>
      <c r="L37" s="25" t="n">
        <f aca="false">SUM(L25:L36)</f>
        <v>17269.065262701</v>
      </c>
      <c r="M37" s="25" t="n">
        <f aca="false">SUM(M25:M36)</f>
        <v>17377.5912907803</v>
      </c>
      <c r="N37" s="25" t="n">
        <f aca="false">SUM(N25:N36)</f>
        <v>17483.946798298</v>
      </c>
      <c r="O37" s="25" t="n">
        <f aca="false">SUM(O25:O36)</f>
        <v>19676.2257869756</v>
      </c>
      <c r="P37" s="25" t="n">
        <f aca="false">SUM(P25:P36)</f>
        <v>19307.0836179506</v>
      </c>
      <c r="Q37" s="25" t="n">
        <f aca="false">SUM(Q25:Q36)</f>
        <v>19374.4976657286</v>
      </c>
      <c r="R37" s="25" t="n">
        <f aca="false">SUM(R25:R36)</f>
        <v>19440.563432551</v>
      </c>
      <c r="S37" s="25" t="n">
        <f aca="false">SUM(S25:S36)</f>
        <v>19505.3078840369</v>
      </c>
      <c r="T37" s="25" t="n">
        <f aca="false">SUM(T25:T36)</f>
        <v>19568.7574464931</v>
      </c>
      <c r="U37" s="25" t="n">
        <f aca="false">SUM(U25:U36)</f>
        <v>19592.5380177002</v>
      </c>
      <c r="V37" s="25" t="n">
        <f aca="false">SUM(V25:V36)</f>
        <v>19653.4749774832</v>
      </c>
      <c r="W37" s="25" t="n">
        <f aca="false">SUM(W25:W36)</f>
        <v>19713.1931980705</v>
      </c>
      <c r="X37" s="25" t="n">
        <f aca="false">SUM(X25:X36)</f>
        <v>19771.717054246</v>
      </c>
      <c r="Y37" s="25" t="n">
        <f aca="false">SUM(Y25:Y36)</f>
        <v>19829.0704332981</v>
      </c>
      <c r="Z37" s="25" t="n">
        <f aca="false">SUM(Z25:Z36)</f>
        <v>19885.2767447691</v>
      </c>
      <c r="AA37" s="25" t="n">
        <f aca="false">SUM(AA25:AA36)</f>
        <v>20446.3550180989</v>
      </c>
      <c r="AB37" s="25" t="n">
        <f aca="false">SUM(AB25:AB36)</f>
        <v>20073.8769794935</v>
      </c>
      <c r="AC37" s="25" t="n">
        <f aca="false">SUM(AC25:AC36)</f>
        <v>20098.2880368071</v>
      </c>
      <c r="AD37" s="25" t="n">
        <f aca="false">SUM(AD25:AD36)</f>
        <v>20122.2108729745</v>
      </c>
      <c r="AE37" s="25" t="n">
        <f aca="false">SUM(AE25:AE36)</f>
        <v>20145.6552524185</v>
      </c>
      <c r="AF37" s="25" t="n">
        <f aca="false">SUM(AF25:AF36)</f>
        <v>20168.6307442736</v>
      </c>
      <c r="AG37" s="25" t="n">
        <f aca="false">SUM(AG25:AG36)</f>
        <v>20152.7467262916</v>
      </c>
      <c r="AH37" s="25" t="n">
        <f aca="false">SUM(AH25:AH36)</f>
        <v>20174.8123886693</v>
      </c>
      <c r="AI37" s="25" t="n">
        <f aca="false">SUM(AI25:AI36)</f>
        <v>20196.4367377994</v>
      </c>
      <c r="AJ37" s="25" t="n">
        <f aca="false">SUM(AJ25:AJ36)</f>
        <v>20217.6285999469</v>
      </c>
      <c r="AK37" s="25" t="n">
        <f aca="false">SUM(AK25:AK36)</f>
        <v>20238.3966248515</v>
      </c>
      <c r="AL37" s="25" t="n">
        <f aca="false">SUM(AL25:AL36)</f>
        <v>20258.7492892579</v>
      </c>
    </row>
    <row r="38" customFormat="false" ht="15" hidden="false" customHeight="false" outlineLevel="0" collapsed="false">
      <c r="A38" s="33" t="s">
        <v>184</v>
      </c>
      <c r="B38" s="34"/>
      <c r="C38" s="35" t="n">
        <f aca="false">C22-C37</f>
        <v>6458.32083333333</v>
      </c>
      <c r="D38" s="35" t="n">
        <f aca="false">D22-D37</f>
        <v>-7767.77291666667</v>
      </c>
      <c r="E38" s="35" t="n">
        <f aca="false">E22-E37</f>
        <v>-7193.45299166667</v>
      </c>
      <c r="F38" s="35" t="n">
        <f aca="false">F22-F37</f>
        <v>-6628.91966516667</v>
      </c>
      <c r="G38" s="35" t="n">
        <f aca="false">G22-G37</f>
        <v>-6073.97720519667</v>
      </c>
      <c r="H38" s="35" t="n">
        <f aca="false">H22-H37</f>
        <v>-5528.43379442607</v>
      </c>
      <c r="I38" s="35" t="n">
        <f aca="false">I22-I37</f>
        <v>-6567.14532102036</v>
      </c>
      <c r="J38" s="35" t="n">
        <f aca="false">J22-J37</f>
        <v>-6151.21574793329</v>
      </c>
      <c r="K38" s="35" t="n">
        <f aca="false">K22-K37</f>
        <v>-5743.60476630796</v>
      </c>
      <c r="L38" s="35" t="n">
        <f aca="false">L22-L37</f>
        <v>-5344.14600431514</v>
      </c>
      <c r="M38" s="35" t="n">
        <f aca="false">M22-M37</f>
        <v>-4952.67641756217</v>
      </c>
      <c r="N38" s="35" t="n">
        <f aca="false">N22-N37</f>
        <v>-4569.03622254426</v>
      </c>
      <c r="O38" s="35" t="n">
        <f aca="false">O22-O37</f>
        <v>11427.6487145146</v>
      </c>
      <c r="P38" s="35" t="n">
        <f aca="false">P22-P37</f>
        <v>-1569.71837166095</v>
      </c>
      <c r="Q38" s="35" t="n">
        <f aca="false">Q22-Q37</f>
        <v>-1324.64357008458</v>
      </c>
      <c r="R38" s="35" t="n">
        <f aca="false">R22-R37</f>
        <v>-1084.47026453975</v>
      </c>
      <c r="S38" s="35" t="n">
        <f aca="false">S22-S37</f>
        <v>-849.1004251058</v>
      </c>
      <c r="T38" s="35" t="n">
        <f aca="false">T22-T37</f>
        <v>-618.437982460539</v>
      </c>
      <c r="U38" s="35" t="n">
        <f aca="false">U22-U37</f>
        <v>-1553.98878866818</v>
      </c>
      <c r="V38" s="35" t="n">
        <f aca="false">V22-V37</f>
        <v>-1332.46057875167</v>
      </c>
      <c r="W38" s="35" t="n">
        <f aca="false">W22-W37</f>
        <v>-1115.36293303349</v>
      </c>
      <c r="X38" s="35" t="n">
        <f aca="false">X22-X37</f>
        <v>-902.607240229685</v>
      </c>
      <c r="Y38" s="35" t="n">
        <f aca="false">Y22-Y37</f>
        <v>-694.106661281938</v>
      </c>
      <c r="Z38" s="35" t="n">
        <f aca="false">Z22-Z37</f>
        <v>-489.776093913155</v>
      </c>
      <c r="AA38" s="35" t="n">
        <f aca="false">AA22-AA37</f>
        <v>14175.4061913169</v>
      </c>
      <c r="AB38" s="35" t="n">
        <f aca="false">AB22-AB37</f>
        <v>2245.3062856265</v>
      </c>
      <c r="AC38" s="35" t="n">
        <f aca="false">AC22-AC37</f>
        <v>2334.35431624474</v>
      </c>
      <c r="AD38" s="35" t="n">
        <f aca="false">AD22-AD37</f>
        <v>2421.6213862506</v>
      </c>
      <c r="AE38" s="35" t="n">
        <f aca="false">AE22-AE37</f>
        <v>2507.14311485636</v>
      </c>
      <c r="AF38" s="35" t="n">
        <f aca="false">AF22-AF37</f>
        <v>2590.95440888999</v>
      </c>
      <c r="AG38" s="35" t="n">
        <f aca="false">AG22-AG37</f>
        <v>1511.48947704295</v>
      </c>
      <c r="AH38" s="35" t="n">
        <f aca="false">AH22-AH37</f>
        <v>1591.98184383285</v>
      </c>
      <c r="AI38" s="35" t="n">
        <f aca="false">AI22-AI37</f>
        <v>1670.86436328696</v>
      </c>
      <c r="AJ38" s="35" t="n">
        <f aca="false">AJ22-AJ37</f>
        <v>1748.16923235198</v>
      </c>
      <c r="AK38" s="35" t="n">
        <f aca="false">AK22-AK37</f>
        <v>1823.9280040357</v>
      </c>
      <c r="AL38" s="35" t="n">
        <f aca="false">AL22-AL37</f>
        <v>1898.17160028575</v>
      </c>
    </row>
    <row r="39" customFormat="false" ht="15" hidden="false" customHeight="false" outlineLevel="0" collapsed="false">
      <c r="A39" s="7" t="s">
        <v>185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customFormat="false" ht="15" hidden="false" customHeight="false" outlineLevel="0" collapsed="false">
      <c r="A40" s="2" t="s">
        <v>186</v>
      </c>
      <c r="B40" s="4"/>
      <c r="C40" s="21" t="n">
        <f aca="false">'Startup Costs'!$C$22/(Assumptions!$C$47*12)</f>
        <v>559.52380952381</v>
      </c>
      <c r="D40" s="21" t="n">
        <f aca="false">'Startup Costs'!$C$22/(Assumptions!$C$47*12)</f>
        <v>559.52380952381</v>
      </c>
      <c r="E40" s="21" t="n">
        <f aca="false">'Startup Costs'!$C$22/(Assumptions!$C$47*12)</f>
        <v>559.52380952381</v>
      </c>
      <c r="F40" s="21" t="n">
        <f aca="false">'Startup Costs'!$C$22/(Assumptions!$C$47*12)</f>
        <v>559.52380952381</v>
      </c>
      <c r="G40" s="21" t="n">
        <f aca="false">'Startup Costs'!$C$22/(Assumptions!$C$47*12)</f>
        <v>559.52380952381</v>
      </c>
      <c r="H40" s="21" t="n">
        <f aca="false">'Startup Costs'!$C$22/(Assumptions!$C$47*12)</f>
        <v>559.52380952381</v>
      </c>
      <c r="I40" s="21" t="n">
        <f aca="false">'Startup Costs'!$C$22/(Assumptions!$C$47*12)</f>
        <v>559.52380952381</v>
      </c>
      <c r="J40" s="21" t="n">
        <f aca="false">'Startup Costs'!$C$22/(Assumptions!$C$47*12)</f>
        <v>559.52380952381</v>
      </c>
      <c r="K40" s="21" t="n">
        <f aca="false">'Startup Costs'!$C$22/(Assumptions!$C$47*12)</f>
        <v>559.52380952381</v>
      </c>
      <c r="L40" s="21" t="n">
        <f aca="false">'Startup Costs'!$C$22/(Assumptions!$C$47*12)</f>
        <v>559.52380952381</v>
      </c>
      <c r="M40" s="21" t="n">
        <f aca="false">'Startup Costs'!$C$22/(Assumptions!$C$47*12)</f>
        <v>559.52380952381</v>
      </c>
      <c r="N40" s="21" t="n">
        <f aca="false">'Startup Costs'!$C$22/(Assumptions!$C$47*12)</f>
        <v>559.52380952381</v>
      </c>
      <c r="O40" s="21" t="n">
        <f aca="false">'Startup Costs'!$C$22/(Assumptions!$C$47*12)</f>
        <v>559.52380952381</v>
      </c>
      <c r="P40" s="21" t="n">
        <f aca="false">'Startup Costs'!$C$22/(Assumptions!$C$47*12)</f>
        <v>559.52380952381</v>
      </c>
      <c r="Q40" s="21" t="n">
        <f aca="false">'Startup Costs'!$C$22/(Assumptions!$C$47*12)</f>
        <v>559.52380952381</v>
      </c>
      <c r="R40" s="21" t="n">
        <f aca="false">'Startup Costs'!$C$22/(Assumptions!$C$47*12)</f>
        <v>559.52380952381</v>
      </c>
      <c r="S40" s="21" t="n">
        <f aca="false">'Startup Costs'!$C$22/(Assumptions!$C$47*12)</f>
        <v>559.52380952381</v>
      </c>
      <c r="T40" s="21" t="n">
        <f aca="false">'Startup Costs'!$C$22/(Assumptions!$C$47*12)</f>
        <v>559.52380952381</v>
      </c>
      <c r="U40" s="21" t="n">
        <f aca="false">'Startup Costs'!$C$22/(Assumptions!$C$47*12)</f>
        <v>559.52380952381</v>
      </c>
      <c r="V40" s="21" t="n">
        <f aca="false">'Startup Costs'!$C$22/(Assumptions!$C$47*12)</f>
        <v>559.52380952381</v>
      </c>
      <c r="W40" s="21" t="n">
        <f aca="false">'Startup Costs'!$C$22/(Assumptions!$C$47*12)</f>
        <v>559.52380952381</v>
      </c>
      <c r="X40" s="21" t="n">
        <f aca="false">'Startup Costs'!$C$22/(Assumptions!$C$47*12)</f>
        <v>559.52380952381</v>
      </c>
      <c r="Y40" s="21" t="n">
        <f aca="false">'Startup Costs'!$C$22/(Assumptions!$C$47*12)</f>
        <v>559.52380952381</v>
      </c>
      <c r="Z40" s="21" t="n">
        <f aca="false">'Startup Costs'!$C$22/(Assumptions!$C$47*12)</f>
        <v>559.52380952381</v>
      </c>
      <c r="AA40" s="21" t="n">
        <f aca="false">'Startup Costs'!$C$22/(Assumptions!$C$47*12)</f>
        <v>559.52380952381</v>
      </c>
      <c r="AB40" s="21" t="n">
        <f aca="false">'Startup Costs'!$C$22/(Assumptions!$C$47*12)</f>
        <v>559.52380952381</v>
      </c>
      <c r="AC40" s="21" t="n">
        <f aca="false">'Startup Costs'!$C$22/(Assumptions!$C$47*12)</f>
        <v>559.52380952381</v>
      </c>
      <c r="AD40" s="21" t="n">
        <f aca="false">'Startup Costs'!$C$22/(Assumptions!$C$47*12)</f>
        <v>559.52380952381</v>
      </c>
      <c r="AE40" s="21" t="n">
        <f aca="false">'Startup Costs'!$C$22/(Assumptions!$C$47*12)</f>
        <v>559.52380952381</v>
      </c>
      <c r="AF40" s="21" t="n">
        <f aca="false">'Startup Costs'!$C$22/(Assumptions!$C$47*12)</f>
        <v>559.52380952381</v>
      </c>
      <c r="AG40" s="21" t="n">
        <f aca="false">'Startup Costs'!$C$22/(Assumptions!$C$47*12)</f>
        <v>559.52380952381</v>
      </c>
      <c r="AH40" s="21" t="n">
        <f aca="false">'Startup Costs'!$C$22/(Assumptions!$C$47*12)</f>
        <v>559.52380952381</v>
      </c>
      <c r="AI40" s="21" t="n">
        <f aca="false">'Startup Costs'!$C$22/(Assumptions!$C$47*12)</f>
        <v>559.52380952381</v>
      </c>
      <c r="AJ40" s="21" t="n">
        <f aca="false">'Startup Costs'!$C$22/(Assumptions!$C$47*12)</f>
        <v>559.52380952381</v>
      </c>
      <c r="AK40" s="21" t="n">
        <f aca="false">'Startup Costs'!$C$22/(Assumptions!$C$47*12)</f>
        <v>559.52380952381</v>
      </c>
      <c r="AL40" s="21" t="n">
        <f aca="false">'Startup Costs'!$C$22/(Assumptions!$C$47*12)</f>
        <v>559.52380952381</v>
      </c>
    </row>
    <row r="41" customFormat="false" ht="15" hidden="false" customHeight="false" outlineLevel="0" collapsed="false">
      <c r="A41" s="2" t="s">
        <v>187</v>
      </c>
      <c r="B41" s="4"/>
      <c r="C41" s="31" t="n">
        <f aca="false">Assumptions!$C$48</f>
        <v>100000</v>
      </c>
      <c r="D41" s="31" t="n">
        <f aca="false">C41-C43</f>
        <v>99539.1665537475</v>
      </c>
      <c r="E41" s="31" t="n">
        <f aca="false">D41-D43</f>
        <v>99074.1088009042</v>
      </c>
      <c r="F41" s="31" t="n">
        <f aca="false">E41-E43</f>
        <v>98604.78801866</v>
      </c>
      <c r="G41" s="31" t="n">
        <f aca="false">F41-F43</f>
        <v>98131.1651292451</v>
      </c>
      <c r="H41" s="31" t="n">
        <f aca="false">G41-G43</f>
        <v>97653.2006966773</v>
      </c>
      <c r="I41" s="31" t="n">
        <f aca="false">H41-H43</f>
        <v>97170.8549234776</v>
      </c>
      <c r="J41" s="31" t="n">
        <f aca="false">I41-I43</f>
        <v>96684.087647357</v>
      </c>
      <c r="K41" s="31" t="n">
        <f aca="false">J41-J43</f>
        <v>96192.8583378719</v>
      </c>
      <c r="L41" s="31" t="n">
        <f aca="false">K41-K43</f>
        <v>95697.1260930498</v>
      </c>
      <c r="M41" s="31" t="n">
        <f aca="false">L41-L43</f>
        <v>95196.8496359835</v>
      </c>
      <c r="N41" s="31" t="n">
        <f aca="false">M41-M43</f>
        <v>94691.9873113941</v>
      </c>
      <c r="O41" s="31" t="n">
        <f aca="false">N41-N43</f>
        <v>94182.4970821627</v>
      </c>
      <c r="P41" s="31" t="n">
        <f aca="false">O41-O43</f>
        <v>93668.33652583</v>
      </c>
      <c r="Q41" s="31" t="n">
        <f aca="false">P41-P43</f>
        <v>93149.4628310642</v>
      </c>
      <c r="R41" s="31" t="n">
        <f aca="false">Q41-Q43</f>
        <v>92625.8327940964</v>
      </c>
      <c r="S41" s="31" t="n">
        <f aca="false">R41-R43</f>
        <v>92097.402815123</v>
      </c>
      <c r="T41" s="31" t="n">
        <f aca="false">S41-S43</f>
        <v>91564.1288946757</v>
      </c>
      <c r="U41" s="31" t="n">
        <f aca="false">T41-T43</f>
        <v>91025.9666299577</v>
      </c>
      <c r="V41" s="31" t="n">
        <f aca="false">U41-U43</f>
        <v>90482.8712111464</v>
      </c>
      <c r="W41" s="31" t="n">
        <f aca="false">V41-V43</f>
        <v>89934.7974176627</v>
      </c>
      <c r="X41" s="31" t="n">
        <f aca="false">W41-W43</f>
        <v>89381.6996144054</v>
      </c>
      <c r="Y41" s="31" t="n">
        <f aca="false">X41-X43</f>
        <v>88823.5317479516</v>
      </c>
      <c r="Z41" s="31" t="n">
        <f aca="false">Y41-Y43</f>
        <v>88260.2473427219</v>
      </c>
      <c r="AA41" s="31" t="n">
        <f aca="false">Z41-Z43</f>
        <v>87691.7994971109</v>
      </c>
      <c r="AB41" s="31" t="n">
        <f aca="false">AA41-AA43</f>
        <v>87118.1408795819</v>
      </c>
      <c r="AC41" s="31" t="n">
        <f aca="false">AB41-AB43</f>
        <v>86539.2237247255</v>
      </c>
      <c r="AD41" s="31" t="n">
        <f aca="false">AC41-AC43</f>
        <v>85954.9998292829</v>
      </c>
      <c r="AE41" s="31" t="n">
        <f aca="false">AD41-AD43</f>
        <v>85365.4205481321</v>
      </c>
      <c r="AF41" s="31" t="n">
        <f aca="false">AE41-AE43</f>
        <v>84770.4367902375</v>
      </c>
      <c r="AG41" s="31" t="n">
        <f aca="false">AF41-AF43</f>
        <v>84169.9990145621</v>
      </c>
      <c r="AH41" s="31" t="n">
        <f aca="false">AG41-AG43</f>
        <v>83564.057225943</v>
      </c>
      <c r="AI41" s="31" t="n">
        <f aca="false">AH41-AH43</f>
        <v>82952.5609709283</v>
      </c>
      <c r="AJ41" s="31" t="n">
        <f aca="false">AI41-AI43</f>
        <v>82335.4593335759</v>
      </c>
      <c r="AK41" s="31" t="n">
        <f aca="false">AJ41-AJ43</f>
        <v>81712.7009312144</v>
      </c>
      <c r="AL41" s="31" t="n">
        <f aca="false">AK41-AK43</f>
        <v>81084.2339101647</v>
      </c>
    </row>
    <row r="42" customFormat="false" ht="15" hidden="false" customHeight="false" outlineLevel="0" collapsed="false">
      <c r="A42" s="2" t="s">
        <v>188</v>
      </c>
      <c r="B42" s="4"/>
      <c r="C42" s="31" t="n">
        <f aca="false">C41*Assumptions!$C$49/12</f>
        <v>916.666666666667</v>
      </c>
      <c r="D42" s="31" t="n">
        <f aca="false">D41*Assumptions!$C$49/12</f>
        <v>912.442360076018</v>
      </c>
      <c r="E42" s="31" t="n">
        <f aca="false">E41*Assumptions!$C$49/12</f>
        <v>908.179330674956</v>
      </c>
      <c r="F42" s="31" t="n">
        <f aca="false">F41*Assumptions!$C$49/12</f>
        <v>903.877223504383</v>
      </c>
      <c r="G42" s="31" t="n">
        <f aca="false">G41*Assumptions!$C$49/12</f>
        <v>899.535680351414</v>
      </c>
      <c r="H42" s="31" t="n">
        <f aca="false">H41*Assumptions!$C$49/12</f>
        <v>895.154339719542</v>
      </c>
      <c r="I42" s="31" t="n">
        <f aca="false">I41*Assumptions!$C$49/12</f>
        <v>890.732836798545</v>
      </c>
      <c r="J42" s="31" t="n">
        <f aca="false">J41*Assumptions!$C$49/12</f>
        <v>886.270803434106</v>
      </c>
      <c r="K42" s="31" t="n">
        <f aca="false">K41*Assumptions!$C$49/12</f>
        <v>881.767868097159</v>
      </c>
      <c r="L42" s="31" t="n">
        <f aca="false">L41*Assumptions!$C$49/12</f>
        <v>877.223655852956</v>
      </c>
      <c r="M42" s="31" t="n">
        <f aca="false">M41*Assumptions!$C$49/12</f>
        <v>872.637788329849</v>
      </c>
      <c r="N42" s="31" t="n">
        <f aca="false">N41*Assumptions!$C$49/12</f>
        <v>868.00988368778</v>
      </c>
      <c r="O42" s="31" t="n">
        <f aca="false">O41*Assumptions!$C$49/12</f>
        <v>863.339556586491</v>
      </c>
      <c r="P42" s="31" t="n">
        <f aca="false">P41*Assumptions!$C$49/12</f>
        <v>858.626418153441</v>
      </c>
      <c r="Q42" s="31" t="n">
        <f aca="false">Q41*Assumptions!$C$49/12</f>
        <v>853.870075951421</v>
      </c>
      <c r="R42" s="31" t="n">
        <f aca="false">R41*Assumptions!$C$49/12</f>
        <v>849.070133945883</v>
      </c>
      <c r="S42" s="31" t="n">
        <f aca="false">S41*Assumptions!$C$49/12</f>
        <v>844.226192471961</v>
      </c>
      <c r="T42" s="31" t="n">
        <f aca="false">T41*Assumptions!$C$49/12</f>
        <v>839.337848201194</v>
      </c>
      <c r="U42" s="31" t="n">
        <f aca="false">U41*Assumptions!$C$49/12</f>
        <v>834.404694107946</v>
      </c>
      <c r="V42" s="31" t="n">
        <f aca="false">V41*Assumptions!$C$49/12</f>
        <v>829.426319435509</v>
      </c>
      <c r="W42" s="31" t="n">
        <f aca="false">W41*Assumptions!$C$49/12</f>
        <v>824.402309661908</v>
      </c>
      <c r="X42" s="31" t="n">
        <f aca="false">X41*Assumptions!$C$49/12</f>
        <v>819.332246465383</v>
      </c>
      <c r="Y42" s="31" t="n">
        <f aca="false">Y41*Assumptions!$C$49/12</f>
        <v>814.215707689556</v>
      </c>
      <c r="Z42" s="31" t="n">
        <f aca="false">Z41*Assumptions!$C$49/12</f>
        <v>809.052267308284</v>
      </c>
      <c r="AA42" s="31" t="n">
        <f aca="false">AA41*Assumptions!$C$49/12</f>
        <v>803.841495390184</v>
      </c>
      <c r="AB42" s="31" t="n">
        <f aca="false">AB41*Assumptions!$C$49/12</f>
        <v>798.582958062834</v>
      </c>
      <c r="AC42" s="31" t="n">
        <f aca="false">AC41*Assumptions!$C$49/12</f>
        <v>793.276217476651</v>
      </c>
      <c r="AD42" s="31" t="n">
        <f aca="false">AD41*Assumptions!$C$49/12</f>
        <v>787.920831768427</v>
      </c>
      <c r="AE42" s="31" t="n">
        <f aca="false">AE41*Assumptions!$C$49/12</f>
        <v>782.516355024545</v>
      </c>
      <c r="AF42" s="31" t="n">
        <f aca="false">AF41*Assumptions!$C$49/12</f>
        <v>777.062337243843</v>
      </c>
      <c r="AG42" s="31" t="n">
        <f aca="false">AG41*Assumptions!$C$49/12</f>
        <v>771.558324300152</v>
      </c>
      <c r="AH42" s="31" t="n">
        <f aca="false">AH41*Assumptions!$C$49/12</f>
        <v>766.003857904478</v>
      </c>
      <c r="AI42" s="31" t="n">
        <f aca="false">AI41*Assumptions!$C$49/12</f>
        <v>760.398475566842</v>
      </c>
      <c r="AJ42" s="31" t="n">
        <f aca="false">AJ41*Assumptions!$C$49/12</f>
        <v>754.741710557779</v>
      </c>
      <c r="AK42" s="31" t="n">
        <f aca="false">AK41*Assumptions!$C$49/12</f>
        <v>749.033091869466</v>
      </c>
      <c r="AL42" s="31" t="n">
        <f aca="false">AL41*Assumptions!$C$49/12</f>
        <v>743.272144176509</v>
      </c>
    </row>
    <row r="43" customFormat="false" ht="15" hidden="false" customHeight="false" outlineLevel="0" collapsed="false">
      <c r="A43" s="2" t="s">
        <v>189</v>
      </c>
      <c r="B43" s="4"/>
      <c r="C43" s="31" t="n">
        <f aca="false">IF(C41&lt;=0,0,MIN(C41,-PMT(Assumptions!$C$49/12,Assumptions!$C$50*12,Assumptions!$C$48)-C42))</f>
        <v>460.833446252559</v>
      </c>
      <c r="D43" s="31" t="n">
        <f aca="false">IF(D41&lt;=0,0,MIN(D41,-PMT(Assumptions!$C$49/12,Assumptions!$C$50*12,Assumptions!$C$48)-D42))</f>
        <v>465.057752843207</v>
      </c>
      <c r="E43" s="31" t="n">
        <f aca="false">IF(E41&lt;=0,0,MIN(E41,-PMT(Assumptions!$C$49/12,Assumptions!$C$50*12,Assumptions!$C$48)-E42))</f>
        <v>469.32078224427</v>
      </c>
      <c r="F43" s="31" t="n">
        <f aca="false">IF(F41&lt;=0,0,MIN(F41,-PMT(Assumptions!$C$49/12,Assumptions!$C$50*12,Assumptions!$C$48)-F42))</f>
        <v>473.622889414842</v>
      </c>
      <c r="G43" s="31" t="n">
        <f aca="false">IF(G41&lt;=0,0,MIN(G41,-PMT(Assumptions!$C$49/12,Assumptions!$C$50*12,Assumptions!$C$48)-G42))</f>
        <v>477.964432567811</v>
      </c>
      <c r="H43" s="31" t="n">
        <f aca="false">IF(H41&lt;=0,0,MIN(H41,-PMT(Assumptions!$C$49/12,Assumptions!$C$50*12,Assumptions!$C$48)-H42))</f>
        <v>482.345773199683</v>
      </c>
      <c r="I43" s="31" t="n">
        <f aca="false">IF(I41&lt;=0,0,MIN(I41,-PMT(Assumptions!$C$49/12,Assumptions!$C$50*12,Assumptions!$C$48)-I42))</f>
        <v>486.76727612068</v>
      </c>
      <c r="J43" s="31" t="n">
        <f aca="false">IF(J41&lt;=0,0,MIN(J41,-PMT(Assumptions!$C$49/12,Assumptions!$C$50*12,Assumptions!$C$48)-J42))</f>
        <v>491.22930948512</v>
      </c>
      <c r="K43" s="31" t="n">
        <f aca="false">IF(K41&lt;=0,0,MIN(K41,-PMT(Assumptions!$C$49/12,Assumptions!$C$50*12,Assumptions!$C$48)-K42))</f>
        <v>495.732244822067</v>
      </c>
      <c r="L43" s="31" t="n">
        <f aca="false">IF(L41&lt;=0,0,MIN(L41,-PMT(Assumptions!$C$49/12,Assumptions!$C$50*12,Assumptions!$C$48)-L42))</f>
        <v>500.276457066269</v>
      </c>
      <c r="M43" s="31" t="n">
        <f aca="false">IF(M41&lt;=0,0,MIN(M41,-PMT(Assumptions!$C$49/12,Assumptions!$C$50*12,Assumptions!$C$48)-M42))</f>
        <v>504.862324589376</v>
      </c>
      <c r="N43" s="31" t="n">
        <f aca="false">IF(N41&lt;=0,0,MIN(N41,-PMT(Assumptions!$C$49/12,Assumptions!$C$50*12,Assumptions!$C$48)-N42))</f>
        <v>509.490229231446</v>
      </c>
      <c r="O43" s="31" t="n">
        <f aca="false">IF(O41&lt;=0,0,MIN(O41,-PMT(Assumptions!$C$49/12,Assumptions!$C$50*12,Assumptions!$C$48)-O42))</f>
        <v>514.160556332734</v>
      </c>
      <c r="P43" s="31" t="n">
        <f aca="false">IF(P41&lt;=0,0,MIN(P41,-PMT(Assumptions!$C$49/12,Assumptions!$C$50*12,Assumptions!$C$48)-P42))</f>
        <v>518.873694765784</v>
      </c>
      <c r="Q43" s="31" t="n">
        <f aca="false">IF(Q41&lt;=0,0,MIN(Q41,-PMT(Assumptions!$C$49/12,Assumptions!$C$50*12,Assumptions!$C$48)-Q42))</f>
        <v>523.630036967804</v>
      </c>
      <c r="R43" s="31" t="n">
        <f aca="false">IF(R41&lt;=0,0,MIN(R41,-PMT(Assumptions!$C$49/12,Assumptions!$C$50*12,Assumptions!$C$48)-R42))</f>
        <v>528.429978973342</v>
      </c>
      <c r="S43" s="31" t="n">
        <f aca="false">IF(S41&lt;=0,0,MIN(S41,-PMT(Assumptions!$C$49/12,Assumptions!$C$50*12,Assumptions!$C$48)-S42))</f>
        <v>533.273920447264</v>
      </c>
      <c r="T43" s="31" t="n">
        <f aca="false">IF(T41&lt;=0,0,MIN(T41,-PMT(Assumptions!$C$49/12,Assumptions!$C$50*12,Assumptions!$C$48)-T42))</f>
        <v>538.162264718031</v>
      </c>
      <c r="U43" s="31" t="n">
        <f aca="false">IF(U41&lt;=0,0,MIN(U41,-PMT(Assumptions!$C$49/12,Assumptions!$C$50*12,Assumptions!$C$48)-U42))</f>
        <v>543.09541881128</v>
      </c>
      <c r="V43" s="31" t="n">
        <f aca="false">IF(V41&lt;=0,0,MIN(V41,-PMT(Assumptions!$C$49/12,Assumptions!$C$50*12,Assumptions!$C$48)-V42))</f>
        <v>548.073793483716</v>
      </c>
      <c r="W43" s="31" t="n">
        <f aca="false">IF(W41&lt;=0,0,MIN(W41,-PMT(Assumptions!$C$49/12,Assumptions!$C$50*12,Assumptions!$C$48)-W42))</f>
        <v>553.097803257317</v>
      </c>
      <c r="X43" s="31" t="n">
        <f aca="false">IF(X41&lt;=0,0,MIN(X41,-PMT(Assumptions!$C$49/12,Assumptions!$C$50*12,Assumptions!$C$48)-X42))</f>
        <v>558.167866453842</v>
      </c>
      <c r="Y43" s="31" t="n">
        <f aca="false">IF(Y41&lt;=0,0,MIN(Y41,-PMT(Assumptions!$C$49/12,Assumptions!$C$50*12,Assumptions!$C$48)-Y42))</f>
        <v>563.284405229669</v>
      </c>
      <c r="Z43" s="31" t="n">
        <f aca="false">IF(Z41&lt;=0,0,MIN(Z41,-PMT(Assumptions!$C$49/12,Assumptions!$C$50*12,Assumptions!$C$48)-Z42))</f>
        <v>568.447845610941</v>
      </c>
      <c r="AA43" s="31" t="n">
        <f aca="false">IF(AA41&lt;=0,0,MIN(AA41,-PMT(Assumptions!$C$49/12,Assumptions!$C$50*12,Assumptions!$C$48)-AA42))</f>
        <v>573.658617529041</v>
      </c>
      <c r="AB43" s="31" t="n">
        <f aca="false">IF(AB41&lt;=0,0,MIN(AB41,-PMT(Assumptions!$C$49/12,Assumptions!$C$50*12,Assumptions!$C$48)-AB42))</f>
        <v>578.917154856391</v>
      </c>
      <c r="AC43" s="31" t="n">
        <f aca="false">IF(AC41&lt;=0,0,MIN(AC41,-PMT(Assumptions!$C$49/12,Assumptions!$C$50*12,Assumptions!$C$48)-AC42))</f>
        <v>584.223895442575</v>
      </c>
      <c r="AD43" s="31" t="n">
        <f aca="false">IF(AD41&lt;=0,0,MIN(AD41,-PMT(Assumptions!$C$49/12,Assumptions!$C$50*12,Assumptions!$C$48)-AD42))</f>
        <v>589.579281150798</v>
      </c>
      <c r="AE43" s="31" t="n">
        <f aca="false">IF(AE41&lt;=0,0,MIN(AE41,-PMT(Assumptions!$C$49/12,Assumptions!$C$50*12,Assumptions!$C$48)-AE42))</f>
        <v>594.983757894681</v>
      </c>
      <c r="AF43" s="31" t="n">
        <f aca="false">IF(AF41&lt;=0,0,MIN(AF41,-PMT(Assumptions!$C$49/12,Assumptions!$C$50*12,Assumptions!$C$48)-AF42))</f>
        <v>600.437775675382</v>
      </c>
      <c r="AG43" s="31" t="n">
        <f aca="false">IF(AG41&lt;=0,0,MIN(AG41,-PMT(Assumptions!$C$49/12,Assumptions!$C$50*12,Assumptions!$C$48)-AG42))</f>
        <v>605.941788619073</v>
      </c>
      <c r="AH43" s="31" t="n">
        <f aca="false">IF(AH41&lt;=0,0,MIN(AH41,-PMT(Assumptions!$C$49/12,Assumptions!$C$50*12,Assumptions!$C$48)-AH42))</f>
        <v>611.496255014748</v>
      </c>
      <c r="AI43" s="31" t="n">
        <f aca="false">IF(AI41&lt;=0,0,MIN(AI41,-PMT(Assumptions!$C$49/12,Assumptions!$C$50*12,Assumptions!$C$48)-AI42))</f>
        <v>617.101637352383</v>
      </c>
      <c r="AJ43" s="31" t="n">
        <f aca="false">IF(AJ41&lt;=0,0,MIN(AJ41,-PMT(Assumptions!$C$49/12,Assumptions!$C$50*12,Assumptions!$C$48)-AJ42))</f>
        <v>622.758402361446</v>
      </c>
      <c r="AK43" s="31" t="n">
        <f aca="false">IF(AK41&lt;=0,0,MIN(AK41,-PMT(Assumptions!$C$49/12,Assumptions!$C$50*12,Assumptions!$C$48)-AK42))</f>
        <v>628.46702104976</v>
      </c>
      <c r="AL43" s="31" t="n">
        <f aca="false">IF(AL41&lt;=0,0,MIN(AL41,-PMT(Assumptions!$C$49/12,Assumptions!$C$50*12,Assumptions!$C$48)-AL42))</f>
        <v>634.227968742716</v>
      </c>
    </row>
    <row r="44" customFormat="false" ht="15" hidden="false" customHeight="false" outlineLevel="0" collapsed="false">
      <c r="A44" s="3" t="s">
        <v>190</v>
      </c>
      <c r="B44" s="4"/>
      <c r="C44" s="25" t="n">
        <f aca="false">C38-C40-C42</f>
        <v>4982.13035714286</v>
      </c>
      <c r="D44" s="25" t="n">
        <f aca="false">D38-D40-D42</f>
        <v>-9239.73908626649</v>
      </c>
      <c r="E44" s="25" t="n">
        <f aca="false">E38-E40-E42</f>
        <v>-8661.15613186543</v>
      </c>
      <c r="F44" s="25" t="n">
        <f aca="false">F38-F40-F42</f>
        <v>-8092.32069819486</v>
      </c>
      <c r="G44" s="25" t="n">
        <f aca="false">G38-G40-G42</f>
        <v>-7533.03669507189</v>
      </c>
      <c r="H44" s="25" t="n">
        <f aca="false">H38-H40-H42</f>
        <v>-6983.11194366942</v>
      </c>
      <c r="I44" s="25" t="n">
        <f aca="false">I38-I40-I42</f>
        <v>-8017.40196734272</v>
      </c>
      <c r="J44" s="25" t="n">
        <f aca="false">J38-J40-J42</f>
        <v>-7597.01036089121</v>
      </c>
      <c r="K44" s="25" t="n">
        <f aca="false">K38-K40-K42</f>
        <v>-7184.89644392893</v>
      </c>
      <c r="L44" s="25" t="n">
        <f aca="false">L38-L40-L42</f>
        <v>-6780.8934696919</v>
      </c>
      <c r="M44" s="25" t="n">
        <f aca="false">M38-M40-M42</f>
        <v>-6384.83801541582</v>
      </c>
      <c r="N44" s="25" t="n">
        <f aca="false">N38-N40-N42</f>
        <v>-5996.56991575584</v>
      </c>
      <c r="O44" s="25" t="n">
        <f aca="false">O38-O40-O42</f>
        <v>10004.7853484043</v>
      </c>
      <c r="P44" s="25" t="n">
        <f aca="false">P38-P40-P42</f>
        <v>-2987.8685993382</v>
      </c>
      <c r="Q44" s="25" t="n">
        <f aca="false">Q38-Q40-Q42</f>
        <v>-2738.03745555981</v>
      </c>
      <c r="R44" s="25" t="n">
        <f aca="false">R38-R40-R42</f>
        <v>-2493.06420800945</v>
      </c>
      <c r="S44" s="25" t="n">
        <f aca="false">S38-S40-S42</f>
        <v>-2252.85042710157</v>
      </c>
      <c r="T44" s="25" t="n">
        <f aca="false">T38-T40-T42</f>
        <v>-2017.29964018554</v>
      </c>
      <c r="U44" s="25" t="n">
        <f aca="false">U38-U40-U42</f>
        <v>-2947.91729229994</v>
      </c>
      <c r="V44" s="25" t="n">
        <f aca="false">V38-V40-V42</f>
        <v>-2721.41070771099</v>
      </c>
      <c r="W44" s="25" t="n">
        <f aca="false">W38-W40-W42</f>
        <v>-2499.28905221921</v>
      </c>
      <c r="X44" s="25" t="n">
        <f aca="false">X38-X40-X42</f>
        <v>-2281.46329621888</v>
      </c>
      <c r="Y44" s="25" t="n">
        <f aca="false">Y38-Y40-Y42</f>
        <v>-2067.8461784953</v>
      </c>
      <c r="Z44" s="25" t="n">
        <f aca="false">Z38-Z40-Z42</f>
        <v>-1858.35217074525</v>
      </c>
      <c r="AA44" s="25" t="n">
        <f aca="false">AA38-AA40-AA42</f>
        <v>12812.0408864029</v>
      </c>
      <c r="AB44" s="25" t="n">
        <f aca="false">AB38-AB40-AB42</f>
        <v>887.199518039859</v>
      </c>
      <c r="AC44" s="25" t="n">
        <f aca="false">AC38-AC40-AC42</f>
        <v>981.554289244279</v>
      </c>
      <c r="AD44" s="25" t="n">
        <f aca="false">AD38-AD40-AD42</f>
        <v>1074.17674495836</v>
      </c>
      <c r="AE44" s="25" t="n">
        <f aca="false">AE38-AE40-AE42</f>
        <v>1165.102950308</v>
      </c>
      <c r="AF44" s="25" t="n">
        <f aca="false">AF38-AF40-AF42</f>
        <v>1254.36826212234</v>
      </c>
      <c r="AG44" s="25" t="n">
        <f aca="false">AG38-AG40-AG42</f>
        <v>180.407343218984</v>
      </c>
      <c r="AH44" s="25" t="n">
        <f aca="false">AH38-AH40-AH42</f>
        <v>266.454176404568</v>
      </c>
      <c r="AI44" s="25" t="n">
        <f aca="false">AI38-AI40-AI42</f>
        <v>350.942078196305</v>
      </c>
      <c r="AJ44" s="25" t="n">
        <f aca="false">AJ38-AJ40-AJ42</f>
        <v>433.90371227039</v>
      </c>
      <c r="AK44" s="25" t="n">
        <f aca="false">AK38-AK40-AK42</f>
        <v>515.371102642426</v>
      </c>
      <c r="AL44" s="25" t="n">
        <f aca="false">AL38-AL40-AL42</f>
        <v>595.375646585431</v>
      </c>
    </row>
    <row r="45" customFormat="false" ht="15" hidden="false" customHeight="false" outlineLevel="0" collapsed="false">
      <c r="A45" s="7" t="s">
        <v>191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customFormat="false" ht="15" hidden="false" customHeight="false" outlineLevel="0" collapsed="false">
      <c r="A46" s="2" t="s">
        <v>192</v>
      </c>
      <c r="B46" s="4"/>
      <c r="C46" s="31" t="n">
        <f aca="false">C44+C40-C43</f>
        <v>5080.82072041411</v>
      </c>
      <c r="D46" s="31" t="n">
        <f aca="false">D44+D40-D43</f>
        <v>-9145.27302958589</v>
      </c>
      <c r="E46" s="31" t="n">
        <f aca="false">E44+E40-E43</f>
        <v>-8570.95310458589</v>
      </c>
      <c r="F46" s="31" t="n">
        <f aca="false">F44+F40-F43</f>
        <v>-8006.41977808589</v>
      </c>
      <c r="G46" s="31" t="n">
        <f aca="false">G44+G40-G43</f>
        <v>-7451.47731811589</v>
      </c>
      <c r="H46" s="31" t="n">
        <f aca="false">H44+H40-H43</f>
        <v>-6905.93390734529</v>
      </c>
      <c r="I46" s="31" t="n">
        <f aca="false">I44+I40-I43</f>
        <v>-7944.64543393959</v>
      </c>
      <c r="J46" s="31" t="n">
        <f aca="false">J44+J40-J43</f>
        <v>-7528.71586085252</v>
      </c>
      <c r="K46" s="31" t="n">
        <f aca="false">K44+K40-K43</f>
        <v>-7121.10487922718</v>
      </c>
      <c r="L46" s="31" t="n">
        <f aca="false">L44+L40-L43</f>
        <v>-6721.64611723436</v>
      </c>
      <c r="M46" s="31" t="n">
        <f aca="false">M44+M40-M43</f>
        <v>-6330.17653048139</v>
      </c>
      <c r="N46" s="31" t="n">
        <f aca="false">N44+N40-N43</f>
        <v>-5946.53633546348</v>
      </c>
      <c r="O46" s="31" t="n">
        <f aca="false">O44+O40-O43</f>
        <v>10050.1486015953</v>
      </c>
      <c r="P46" s="31" t="n">
        <f aca="false">P44+P40-P43</f>
        <v>-2947.21848458017</v>
      </c>
      <c r="Q46" s="31" t="n">
        <f aca="false">Q44+Q40-Q43</f>
        <v>-2702.14368300381</v>
      </c>
      <c r="R46" s="31" t="n">
        <f aca="false">R44+R40-R43</f>
        <v>-2461.97037745898</v>
      </c>
      <c r="S46" s="31" t="n">
        <f aca="false">S44+S40-S43</f>
        <v>-2226.60053802503</v>
      </c>
      <c r="T46" s="31" t="n">
        <f aca="false">T44+T40-T43</f>
        <v>-1995.93809537976</v>
      </c>
      <c r="U46" s="31" t="n">
        <f aca="false">U44+U40-U43</f>
        <v>-2931.48890158741</v>
      </c>
      <c r="V46" s="31" t="n">
        <f aca="false">V44+V40-V43</f>
        <v>-2709.9606916709</v>
      </c>
      <c r="W46" s="31" t="n">
        <f aca="false">W44+W40-W43</f>
        <v>-2492.86304595272</v>
      </c>
      <c r="X46" s="31" t="n">
        <f aca="false">X44+X40-X43</f>
        <v>-2280.10735314891</v>
      </c>
      <c r="Y46" s="31" t="n">
        <f aca="false">Y44+Y40-Y43</f>
        <v>-2071.60677420116</v>
      </c>
      <c r="Z46" s="31" t="n">
        <f aca="false">Z44+Z40-Z43</f>
        <v>-1867.27620683238</v>
      </c>
      <c r="AA46" s="31" t="n">
        <f aca="false">AA44+AA40-AA43</f>
        <v>12797.9060783977</v>
      </c>
      <c r="AB46" s="31" t="n">
        <f aca="false">AB44+AB40-AB43</f>
        <v>867.806172707277</v>
      </c>
      <c r="AC46" s="31" t="n">
        <f aca="false">AC44+AC40-AC43</f>
        <v>956.854203325513</v>
      </c>
      <c r="AD46" s="31" t="n">
        <f aca="false">AD44+AD40-AD43</f>
        <v>1044.12127333138</v>
      </c>
      <c r="AE46" s="31" t="n">
        <f aca="false">AE44+AE40-AE43</f>
        <v>1129.64300193713</v>
      </c>
      <c r="AF46" s="31" t="n">
        <f aca="false">AF44+AF40-AF43</f>
        <v>1213.45429597077</v>
      </c>
      <c r="AG46" s="31" t="n">
        <f aca="false">AG44+AG40-AG43</f>
        <v>133.98936412372</v>
      </c>
      <c r="AH46" s="31" t="n">
        <f aca="false">AH44+AH40-AH43</f>
        <v>214.48173091363</v>
      </c>
      <c r="AI46" s="31" t="n">
        <f aca="false">AI44+AI40-AI43</f>
        <v>293.364250367732</v>
      </c>
      <c r="AJ46" s="31" t="n">
        <f aca="false">AJ44+AJ40-AJ43</f>
        <v>370.669119432753</v>
      </c>
      <c r="AK46" s="31" t="n">
        <f aca="false">AK44+AK40-AK43</f>
        <v>446.427891116476</v>
      </c>
      <c r="AL46" s="31" t="n">
        <f aca="false">AL44+AL40-AL43</f>
        <v>520.671487366525</v>
      </c>
    </row>
    <row r="47" customFormat="false" ht="15" hidden="false" customHeight="false" outlineLevel="0" collapsed="false">
      <c r="A47" s="33" t="s">
        <v>193</v>
      </c>
      <c r="B47" s="34"/>
      <c r="C47" s="36" t="n">
        <f aca="false">'Startup Costs'!$C$29+C46</f>
        <v>129059.241178497</v>
      </c>
      <c r="D47" s="35" t="n">
        <f aca="false">C47+D46</f>
        <v>119913.968148911</v>
      </c>
      <c r="E47" s="35" t="n">
        <f aca="false">D47+E46</f>
        <v>111343.015044325</v>
      </c>
      <c r="F47" s="35" t="n">
        <f aca="false">E47+F46</f>
        <v>103336.595266239</v>
      </c>
      <c r="G47" s="35" t="n">
        <f aca="false">F47+G46</f>
        <v>95885.1179481231</v>
      </c>
      <c r="H47" s="35" t="n">
        <f aca="false">G47+H46</f>
        <v>88979.1840407778</v>
      </c>
      <c r="I47" s="35" t="n">
        <f aca="false">H47+I46</f>
        <v>81034.5386068382</v>
      </c>
      <c r="J47" s="35" t="n">
        <f aca="false">I47+J46</f>
        <v>73505.8227459857</v>
      </c>
      <c r="K47" s="35" t="n">
        <f aca="false">J47+K46</f>
        <v>66384.7178667585</v>
      </c>
      <c r="L47" s="35" t="n">
        <f aca="false">K47+L46</f>
        <v>59663.0717495241</v>
      </c>
      <c r="M47" s="35" t="n">
        <f aca="false">L47+M46</f>
        <v>53332.8952190427</v>
      </c>
      <c r="N47" s="35" t="n">
        <f aca="false">M47+N46</f>
        <v>47386.3588835792</v>
      </c>
      <c r="O47" s="35" t="n">
        <f aca="false">N47+O46</f>
        <v>57436.5074851746</v>
      </c>
      <c r="P47" s="35" t="n">
        <f aca="false">O47+P46</f>
        <v>54489.2890005944</v>
      </c>
      <c r="Q47" s="35" t="n">
        <f aca="false">P47+Q46</f>
        <v>51787.1453175906</v>
      </c>
      <c r="R47" s="35" t="n">
        <f aca="false">Q47+R46</f>
        <v>49325.1749401316</v>
      </c>
      <c r="S47" s="35" t="n">
        <f aca="false">R47+S46</f>
        <v>47098.5744021066</v>
      </c>
      <c r="T47" s="35" t="n">
        <f aca="false">S47+T46</f>
        <v>45102.6363067268</v>
      </c>
      <c r="U47" s="35" t="n">
        <f aca="false">T47+U46</f>
        <v>42171.1474051394</v>
      </c>
      <c r="V47" s="35" t="n">
        <f aca="false">U47+V46</f>
        <v>39461.1867134685</v>
      </c>
      <c r="W47" s="35" t="n">
        <f aca="false">V47+W46</f>
        <v>36968.3236675158</v>
      </c>
      <c r="X47" s="35" t="n">
        <f aca="false">W47+X46</f>
        <v>34688.2163143669</v>
      </c>
      <c r="Y47" s="35" t="n">
        <f aca="false">X47+Y46</f>
        <v>32616.6095401657</v>
      </c>
      <c r="Z47" s="35" t="n">
        <f aca="false">Y47+Z46</f>
        <v>30749.3333333333</v>
      </c>
      <c r="AA47" s="35" t="n">
        <f aca="false">Z47+AA46</f>
        <v>43547.239411731</v>
      </c>
      <c r="AB47" s="35" t="n">
        <f aca="false">AA47+AB46</f>
        <v>44415.0455844383</v>
      </c>
      <c r="AC47" s="35" t="n">
        <f aca="false">AB47+AC46</f>
        <v>45371.8997877638</v>
      </c>
      <c r="AD47" s="35" t="n">
        <f aca="false">AC47+AD46</f>
        <v>46416.0210610951</v>
      </c>
      <c r="AE47" s="35" t="n">
        <f aca="false">AD47+AE46</f>
        <v>47545.6640630323</v>
      </c>
      <c r="AF47" s="35" t="n">
        <f aca="false">AE47+AF46</f>
        <v>48759.118359003</v>
      </c>
      <c r="AG47" s="35" t="n">
        <f aca="false">AF47+AG46</f>
        <v>48893.1077231268</v>
      </c>
      <c r="AH47" s="35" t="n">
        <f aca="false">AG47+AH46</f>
        <v>49107.5894540404</v>
      </c>
      <c r="AI47" s="35" t="n">
        <f aca="false">AH47+AI46</f>
        <v>49400.9537044081</v>
      </c>
      <c r="AJ47" s="35" t="n">
        <f aca="false">AI47+AJ46</f>
        <v>49771.6228238409</v>
      </c>
      <c r="AK47" s="35" t="n">
        <f aca="false">AJ47+AK46</f>
        <v>50218.0507149573</v>
      </c>
      <c r="AL47" s="35" t="n">
        <f aca="false">AK47+AL46</f>
        <v>50738.7222023239</v>
      </c>
    </row>
    <row r="48" customFormat="false" ht="15" hidden="false" customHeight="false" outlineLevel="0" collapsed="false">
      <c r="A48" s="2" t="s">
        <v>194</v>
      </c>
      <c r="B48" s="4"/>
      <c r="C48" s="31" t="n">
        <f aca="false">C46</f>
        <v>5080.82072041411</v>
      </c>
      <c r="D48" s="31" t="n">
        <f aca="false">C48+D46</f>
        <v>-4064.45230917179</v>
      </c>
      <c r="E48" s="31" t="n">
        <f aca="false">D48+E46</f>
        <v>-12635.4054137577</v>
      </c>
      <c r="F48" s="31" t="n">
        <f aca="false">E48+F46</f>
        <v>-20641.8251918436</v>
      </c>
      <c r="G48" s="31" t="n">
        <f aca="false">F48+G46</f>
        <v>-28093.3025099595</v>
      </c>
      <c r="H48" s="31" t="n">
        <f aca="false">G48+H46</f>
        <v>-34999.2364173048</v>
      </c>
      <c r="I48" s="31" t="n">
        <f aca="false">H48+I46</f>
        <v>-42943.8818512443</v>
      </c>
      <c r="J48" s="31" t="n">
        <f aca="false">I48+J46</f>
        <v>-50472.5977120969</v>
      </c>
      <c r="K48" s="31" t="n">
        <f aca="false">J48+K46</f>
        <v>-57593.702591324</v>
      </c>
      <c r="L48" s="31" t="n">
        <f aca="false">K48+L46</f>
        <v>-64315.3487085584</v>
      </c>
      <c r="M48" s="31" t="n">
        <f aca="false">L48+M46</f>
        <v>-70645.5252390398</v>
      </c>
      <c r="N48" s="31" t="n">
        <f aca="false">M48+N46</f>
        <v>-76592.0615745033</v>
      </c>
      <c r="O48" s="31" t="n">
        <f aca="false">N48+O46</f>
        <v>-66541.9129729079</v>
      </c>
      <c r="P48" s="31" t="n">
        <f aca="false">O48+P46</f>
        <v>-69489.1314574881</v>
      </c>
      <c r="Q48" s="31" t="n">
        <f aca="false">P48+Q46</f>
        <v>-72191.2751404919</v>
      </c>
      <c r="R48" s="31" t="n">
        <f aca="false">Q48+R46</f>
        <v>-74653.2455179509</v>
      </c>
      <c r="S48" s="31" t="n">
        <f aca="false">R48+S46</f>
        <v>-76879.8460559759</v>
      </c>
      <c r="T48" s="31" t="n">
        <f aca="false">S48+T46</f>
        <v>-78875.7841513557</v>
      </c>
      <c r="U48" s="31" t="n">
        <f aca="false">T48+U46</f>
        <v>-81807.2730529431</v>
      </c>
      <c r="V48" s="31" t="n">
        <f aca="false">U48+V46</f>
        <v>-84517.233744614</v>
      </c>
      <c r="W48" s="31" t="n">
        <f aca="false">V48+W46</f>
        <v>-87010.0967905667</v>
      </c>
      <c r="X48" s="31" t="n">
        <f aca="false">W48+X46</f>
        <v>-89290.2041437156</v>
      </c>
      <c r="Y48" s="31" t="n">
        <f aca="false">X48+Y46</f>
        <v>-91361.8109179168</v>
      </c>
      <c r="Z48" s="31" t="n">
        <f aca="false">Y48+Z46</f>
        <v>-93229.0871247492</v>
      </c>
      <c r="AA48" s="31" t="n">
        <f aca="false">Z48+AA46</f>
        <v>-80431.1810463515</v>
      </c>
      <c r="AB48" s="31" t="n">
        <f aca="false">AA48+AB46</f>
        <v>-79563.3748736443</v>
      </c>
      <c r="AC48" s="31" t="n">
        <f aca="false">AB48+AC46</f>
        <v>-78606.5206703187</v>
      </c>
      <c r="AD48" s="31" t="n">
        <f aca="false">AC48+AD46</f>
        <v>-77562.3993969874</v>
      </c>
      <c r="AE48" s="31" t="n">
        <f aca="false">AD48+AE46</f>
        <v>-76432.7563950502</v>
      </c>
      <c r="AF48" s="31" t="n">
        <f aca="false">AE48+AF46</f>
        <v>-75219.3020990795</v>
      </c>
      <c r="AG48" s="31" t="n">
        <f aca="false">AF48+AG46</f>
        <v>-75085.3127349558</v>
      </c>
      <c r="AH48" s="31" t="n">
        <f aca="false">AG48+AH46</f>
        <v>-74870.8310040421</v>
      </c>
      <c r="AI48" s="31" t="n">
        <f aca="false">AH48+AI46</f>
        <v>-74577.4667536744</v>
      </c>
      <c r="AJ48" s="31" t="n">
        <f aca="false">AI48+AJ46</f>
        <v>-74206.7976342417</v>
      </c>
      <c r="AK48" s="31" t="n">
        <f aca="false">AJ48+AK46</f>
        <v>-73760.3697431252</v>
      </c>
      <c r="AL48" s="31" t="n">
        <f aca="false">AK48+AL46</f>
        <v>-73239.6982557587</v>
      </c>
    </row>
    <row r="49" customFormat="false" ht="15" hidden="false" customHeight="false" outlineLevel="0" collapsed="false">
      <c r="A49" s="2" t="s">
        <v>195</v>
      </c>
      <c r="B49" s="4"/>
      <c r="C49" s="28" t="n">
        <f aca="false">IF(MIN(C38:$AL$38)&gt;0,1,0)</f>
        <v>0</v>
      </c>
      <c r="D49" s="28" t="n">
        <f aca="false">IF(MIN(D38:$AL$38)&gt;0,1,0)</f>
        <v>0</v>
      </c>
      <c r="E49" s="28" t="n">
        <f aca="false">IF(MIN(E38:$AL$38)&gt;0,1,0)</f>
        <v>0</v>
      </c>
      <c r="F49" s="28" t="n">
        <f aca="false">IF(MIN(F38:$AL$38)&gt;0,1,0)</f>
        <v>0</v>
      </c>
      <c r="G49" s="28" t="n">
        <f aca="false">IF(MIN(G38:$AL$38)&gt;0,1,0)</f>
        <v>0</v>
      </c>
      <c r="H49" s="28" t="n">
        <f aca="false">IF(MIN(H38:$AL$38)&gt;0,1,0)</f>
        <v>0</v>
      </c>
      <c r="I49" s="28" t="n">
        <f aca="false">IF(MIN(I38:$AL$38)&gt;0,1,0)</f>
        <v>0</v>
      </c>
      <c r="J49" s="28" t="n">
        <f aca="false">IF(MIN(J38:$AL$38)&gt;0,1,0)</f>
        <v>0</v>
      </c>
      <c r="K49" s="28" t="n">
        <f aca="false">IF(MIN(K38:$AL$38)&gt;0,1,0)</f>
        <v>0</v>
      </c>
      <c r="L49" s="28" t="n">
        <f aca="false">IF(MIN(L38:$AL$38)&gt;0,1,0)</f>
        <v>0</v>
      </c>
      <c r="M49" s="28" t="n">
        <f aca="false">IF(MIN(M38:$AL$38)&gt;0,1,0)</f>
        <v>0</v>
      </c>
      <c r="N49" s="28" t="n">
        <f aca="false">IF(MIN(N38:$AL$38)&gt;0,1,0)</f>
        <v>0</v>
      </c>
      <c r="O49" s="28" t="n">
        <f aca="false">IF(MIN(O38:$AL$38)&gt;0,1,0)</f>
        <v>0</v>
      </c>
      <c r="P49" s="28" t="n">
        <f aca="false">IF(MIN(P38:$AL$38)&gt;0,1,0)</f>
        <v>0</v>
      </c>
      <c r="Q49" s="28" t="n">
        <f aca="false">IF(MIN(Q38:$AL$38)&gt;0,1,0)</f>
        <v>0</v>
      </c>
      <c r="R49" s="28" t="n">
        <f aca="false">IF(MIN(R38:$AL$38)&gt;0,1,0)</f>
        <v>0</v>
      </c>
      <c r="S49" s="28" t="n">
        <f aca="false">IF(MIN(S38:$AL$38)&gt;0,1,0)</f>
        <v>0</v>
      </c>
      <c r="T49" s="28" t="n">
        <f aca="false">IF(MIN(T38:$AL$38)&gt;0,1,0)</f>
        <v>0</v>
      </c>
      <c r="U49" s="28" t="n">
        <f aca="false">IF(MIN(U38:$AL$38)&gt;0,1,0)</f>
        <v>0</v>
      </c>
      <c r="V49" s="28" t="n">
        <f aca="false">IF(MIN(V38:$AL$38)&gt;0,1,0)</f>
        <v>0</v>
      </c>
      <c r="W49" s="28" t="n">
        <f aca="false">IF(MIN(W38:$AL$38)&gt;0,1,0)</f>
        <v>0</v>
      </c>
      <c r="X49" s="28" t="n">
        <f aca="false">IF(MIN(X38:$AL$38)&gt;0,1,0)</f>
        <v>0</v>
      </c>
      <c r="Y49" s="28" t="n">
        <f aca="false">IF(MIN(Y38:$AL$38)&gt;0,1,0)</f>
        <v>0</v>
      </c>
      <c r="Z49" s="28" t="n">
        <f aca="false">IF(MIN(Z38:$AL$38)&gt;0,1,0)</f>
        <v>0</v>
      </c>
      <c r="AA49" s="28" t="n">
        <f aca="false">IF(MIN(AA38:$AL$38)&gt;0,1,0)</f>
        <v>1</v>
      </c>
      <c r="AB49" s="28" t="n">
        <f aca="false">IF(MIN(AB38:$AL$38)&gt;0,1,0)</f>
        <v>1</v>
      </c>
      <c r="AC49" s="28" t="n">
        <f aca="false">IF(MIN(AC38:$AL$38)&gt;0,1,0)</f>
        <v>1</v>
      </c>
      <c r="AD49" s="28" t="n">
        <f aca="false">IF(MIN(AD38:$AL$38)&gt;0,1,0)</f>
        <v>1</v>
      </c>
      <c r="AE49" s="28" t="n">
        <f aca="false">IF(MIN(AE38:$AL$38)&gt;0,1,0)</f>
        <v>1</v>
      </c>
      <c r="AF49" s="28" t="n">
        <f aca="false">IF(MIN(AF38:$AL$38)&gt;0,1,0)</f>
        <v>1</v>
      </c>
      <c r="AG49" s="28" t="n">
        <f aca="false">IF(MIN(AG38:$AL$38)&gt;0,1,0)</f>
        <v>1</v>
      </c>
      <c r="AH49" s="28" t="n">
        <f aca="false">IF(MIN(AH38:$AL$38)&gt;0,1,0)</f>
        <v>1</v>
      </c>
      <c r="AI49" s="28" t="n">
        <f aca="false">IF(MIN(AI38:$AL$38)&gt;0,1,0)</f>
        <v>1</v>
      </c>
      <c r="AJ49" s="28" t="n">
        <f aca="false">IF(MIN(AJ38:$AL$38)&gt;0,1,0)</f>
        <v>1</v>
      </c>
      <c r="AK49" s="28" t="n">
        <f aca="false">IF(MIN(AK38:$AL$38)&gt;0,1,0)</f>
        <v>1</v>
      </c>
      <c r="AL49" s="28" t="n">
        <f aca="false">IF(MIN(AL38:$AL$38)&gt;0,1,0)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196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6"/>
      <c r="B3" s="6" t="s">
        <v>23</v>
      </c>
      <c r="C3" s="6" t="s">
        <v>24</v>
      </c>
      <c r="D3" s="6" t="s">
        <v>25</v>
      </c>
    </row>
    <row r="4" customFormat="false" ht="15" hidden="false" customHeight="false" outlineLevel="0" collapsed="false">
      <c r="A4" s="2" t="s">
        <v>197</v>
      </c>
      <c r="B4" s="37" t="n">
        <f aca="false">INDEX('Monthly P&amp;L'!$C$12:$AL$12,12)</f>
        <v>718.281325737979</v>
      </c>
      <c r="C4" s="37" t="n">
        <f aca="false">INDEX('Monthly P&amp;L'!$C$12:$AL$12,24)</f>
        <v>961.921429743616</v>
      </c>
      <c r="D4" s="37" t="n">
        <f aca="false">INDEX('Monthly P&amp;L'!$C$12:$AL$12,36)</f>
        <v>1045.46825579672</v>
      </c>
    </row>
    <row r="5" customFormat="false" ht="15" hidden="false" customHeight="false" outlineLevel="0" collapsed="false">
      <c r="A5" s="2" t="s">
        <v>56</v>
      </c>
      <c r="B5" s="21" t="n">
        <f aca="false">SUMIF('Monthly P&amp;L'!$C$6:$AL$6,1,'Monthly P&amp;L'!$C$16:$AL$16)</f>
        <v>244383.085390948</v>
      </c>
      <c r="C5" s="21" t="n">
        <f aca="false">SUMIF('Monthly P&amp;L'!$C$6:$AL$6,2,'Monthly P&amp;L'!$C$16:$AL$16)</f>
        <v>488453.821417254</v>
      </c>
      <c r="D5" s="21" t="n">
        <f aca="false">SUMIF('Monthly P&amp;L'!$C$6:$AL$6,3,'Monthly P&amp;L'!$C$16:$AL$16)</f>
        <v>610152.758379242</v>
      </c>
    </row>
    <row r="6" customFormat="false" ht="15" hidden="false" customHeight="false" outlineLevel="0" collapsed="false">
      <c r="A6" s="2" t="s">
        <v>198</v>
      </c>
      <c r="B6" s="21" t="n">
        <f aca="false">SUMIF('Monthly P&amp;L'!$C$6:$AL$6,1,'Monthly P&amp;L'!$C$17:$AL$17)</f>
        <v>-4398.89553703706</v>
      </c>
      <c r="C6" s="21" t="n">
        <f aca="false">SUMIF('Monthly P&amp;L'!$C$6:$AL$6,2,'Monthly P&amp;L'!$C$17:$AL$17)</f>
        <v>-8792.16878551057</v>
      </c>
      <c r="D6" s="21" t="n">
        <f aca="false">SUMIF('Monthly P&amp;L'!$C$6:$AL$6,3,'Monthly P&amp;L'!$C$17:$AL$17)</f>
        <v>-10982.7496508264</v>
      </c>
    </row>
    <row r="7" customFormat="false" ht="15" hidden="false" customHeight="false" outlineLevel="0" collapsed="false">
      <c r="A7" s="2" t="s">
        <v>199</v>
      </c>
      <c r="B7" s="21" t="n">
        <f aca="false">SUMIF('Monthly P&amp;L'!$C$6:$AL$6,1,'Monthly P&amp;L'!$C$18:$AL$18)</f>
        <v>67500</v>
      </c>
      <c r="C7" s="21" t="n">
        <f aca="false">SUMIF('Monthly P&amp;L'!$C$6:$AL$6,2,'Monthly P&amp;L'!$C$18:$AL$18)</f>
        <v>87697.627996077</v>
      </c>
      <c r="D7" s="21" t="n">
        <f aca="false">SUMIF('Monthly P&amp;L'!$C$6:$AL$6,3,'Monthly P&amp;L'!$C$18:$AL$18)</f>
        <v>94547.0444643728</v>
      </c>
    </row>
    <row r="8" customFormat="false" ht="15" hidden="false" customHeight="false" outlineLevel="0" collapsed="false">
      <c r="A8" s="3" t="s">
        <v>170</v>
      </c>
      <c r="B8" s="21" t="n">
        <f aca="false">SUMIF('Monthly P&amp;L'!$C$6:$AL$6,1,'Monthly P&amp;L'!$C$19:$AL$19)</f>
        <v>307484.189853911</v>
      </c>
      <c r="C8" s="21" t="n">
        <f aca="false">SUMIF('Monthly P&amp;L'!$C$6:$AL$6,2,'Monthly P&amp;L'!$C$19:$AL$19)</f>
        <v>567359.28062782</v>
      </c>
      <c r="D8" s="21" t="n">
        <f aca="false">SUMIF('Monthly P&amp;L'!$C$6:$AL$6,3,'Monthly P&amp;L'!$C$19:$AL$19)</f>
        <v>693717.053192788</v>
      </c>
    </row>
    <row r="9" customFormat="false" ht="15" hidden="false" customHeight="false" outlineLevel="0" collapsed="false">
      <c r="A9" s="2" t="s">
        <v>200</v>
      </c>
      <c r="B9" s="21" t="n">
        <f aca="false">SUMIF('Monthly P&amp;L'!$C$6:$AL$6,1,'Monthly P&amp;L'!$C$21:$AL$21)</f>
        <v>166180.498065845</v>
      </c>
      <c r="C9" s="21" t="n">
        <f aca="false">SUMIF('Monthly P&amp;L'!$C$6:$AL$6,2,'Monthly P&amp;L'!$C$21:$AL$21)</f>
        <v>332148.598563732</v>
      </c>
      <c r="D9" s="21" t="n">
        <f aca="false">SUMIF('Monthly P&amp;L'!$C$6:$AL$6,3,'Monthly P&amp;L'!$C$21:$AL$21)</f>
        <v>414903.875697885</v>
      </c>
    </row>
    <row r="10" customFormat="false" ht="15" hidden="false" customHeight="false" outlineLevel="0" collapsed="false">
      <c r="A10" s="3" t="s">
        <v>173</v>
      </c>
      <c r="B10" s="21" t="n">
        <f aca="false">SUMIF('Monthly P&amp;L'!$C$6:$AL$6,1,'Monthly P&amp;L'!$C$22:$AL$22)</f>
        <v>141303.691788066</v>
      </c>
      <c r="C10" s="21" t="n">
        <f aca="false">SUMIF('Monthly P&amp;L'!$C$6:$AL$6,2,'Monthly P&amp;L'!$C$22:$AL$22)</f>
        <v>235210.682064088</v>
      </c>
      <c r="D10" s="21" t="n">
        <f aca="false">SUMIF('Monthly P&amp;L'!$C$6:$AL$6,3,'Monthly P&amp;L'!$C$22:$AL$22)</f>
        <v>278813.177494904</v>
      </c>
    </row>
    <row r="11" customFormat="false" ht="15" hidden="false" customHeight="false" outlineLevel="0" collapsed="false">
      <c r="A11" s="2" t="s">
        <v>174</v>
      </c>
      <c r="B11" s="38" t="n">
        <f aca="false">IF(B8=0,0,B10/B8)</f>
        <v>0.459547828638608</v>
      </c>
      <c r="C11" s="38" t="n">
        <f aca="false">IF(C8=0,0,C10/C8)</f>
        <v>0.414570960756668</v>
      </c>
      <c r="D11" s="38" t="n">
        <f aca="false">IF(D8=0,0,D10/D8)</f>
        <v>0.401911955618914</v>
      </c>
    </row>
    <row r="12" customFormat="false" ht="15" hidden="false" customHeight="false" outlineLevel="0" collapsed="false">
      <c r="A12" s="2" t="s">
        <v>175</v>
      </c>
      <c r="B12" s="21" t="n">
        <f aca="false">SUMIF('Monthly P&amp;L'!$C$6:$AL$6,1,'Monthly P&amp;L'!$C$37:$AL$37)</f>
        <v>201365.752007539</v>
      </c>
      <c r="C12" s="21" t="n">
        <f aca="false">SUMIF('Monthly P&amp;L'!$C$6:$AL$6,2,'Monthly P&amp;L'!$C$37:$AL$37)</f>
        <v>235317.706259303</v>
      </c>
      <c r="D12" s="21" t="n">
        <f aca="false">SUMIF('Monthly P&amp;L'!$C$6:$AL$6,3,'Monthly P&amp;L'!$C$37:$AL$37)</f>
        <v>242293.787270883</v>
      </c>
    </row>
    <row r="13" customFormat="false" ht="15" hidden="false" customHeight="false" outlineLevel="0" collapsed="false">
      <c r="A13" s="3" t="s">
        <v>184</v>
      </c>
      <c r="B13" s="21" t="n">
        <f aca="false">SUMIF('Monthly P&amp;L'!$C$6:$AL$6,1,'Monthly P&amp;L'!$C$38:$AL$38)</f>
        <v>-60062.0602194726</v>
      </c>
      <c r="C13" s="21" t="n">
        <f aca="false">SUMIF('Monthly P&amp;L'!$C$6:$AL$6,2,'Monthly P&amp;L'!$C$38:$AL$38)</f>
        <v>-107.024195215196</v>
      </c>
      <c r="D13" s="21" t="n">
        <f aca="false">SUMIF('Monthly P&amp;L'!$C$6:$AL$6,3,'Monthly P&amp;L'!$C$38:$AL$38)</f>
        <v>36519.3902240213</v>
      </c>
    </row>
    <row r="14" customFormat="false" ht="15" hidden="false" customHeight="false" outlineLevel="0" collapsed="false">
      <c r="A14" s="2" t="s">
        <v>186</v>
      </c>
      <c r="B14" s="21" t="n">
        <f aca="false">SUMIF('Monthly P&amp;L'!$C$6:$AL$6,1,'Monthly P&amp;L'!$C$40:$AL$40)</f>
        <v>6714.28571428571</v>
      </c>
      <c r="C14" s="21" t="n">
        <f aca="false">SUMIF('Monthly P&amp;L'!$C$6:$AL$6,2,'Monthly P&amp;L'!$C$40:$AL$40)</f>
        <v>6714.28571428571</v>
      </c>
      <c r="D14" s="21" t="n">
        <f aca="false">SUMIF('Monthly P&amp;L'!$C$6:$AL$6,3,'Monthly P&amp;L'!$C$40:$AL$40)</f>
        <v>6714.28571428571</v>
      </c>
    </row>
    <row r="15" customFormat="false" ht="15" hidden="false" customHeight="false" outlineLevel="0" collapsed="false">
      <c r="A15" s="2" t="s">
        <v>188</v>
      </c>
      <c r="B15" s="21" t="n">
        <f aca="false">SUMIF('Monthly P&amp;L'!$C$6:$AL$6,1,'Monthly P&amp;L'!$C$42:$AL$42)</f>
        <v>10712.4984371934</v>
      </c>
      <c r="C15" s="21" t="n">
        <f aca="false">SUMIF('Monthly P&amp;L'!$C$6:$AL$6,2,'Monthly P&amp;L'!$C$42:$AL$42)</f>
        <v>10039.303769979</v>
      </c>
      <c r="D15" s="21" t="n">
        <f aca="false">SUMIF('Monthly P&amp;L'!$C$6:$AL$6,3,'Monthly P&amp;L'!$C$42:$AL$42)</f>
        <v>9288.20779934171</v>
      </c>
    </row>
    <row r="16" customFormat="false" ht="15" hidden="false" customHeight="false" outlineLevel="0" collapsed="false">
      <c r="A16" s="3" t="s">
        <v>190</v>
      </c>
      <c r="B16" s="21" t="n">
        <f aca="false">SUMIF('Monthly P&amp;L'!$C$6:$AL$6,1,'Monthly P&amp;L'!$C$44:$AL$44)</f>
        <v>-77488.8443709517</v>
      </c>
      <c r="C16" s="21" t="n">
        <f aca="false">SUMIF('Monthly P&amp;L'!$C$6:$AL$6,2,'Monthly P&amp;L'!$C$44:$AL$44)</f>
        <v>-16860.6136794799</v>
      </c>
      <c r="D16" s="21" t="n">
        <f aca="false">SUMIF('Monthly P&amp;L'!$C$6:$AL$6,3,'Monthly P&amp;L'!$C$44:$AL$44)</f>
        <v>20516.8967103938</v>
      </c>
    </row>
    <row r="17" customFormat="false" ht="15" hidden="false" customHeight="false" outlineLevel="0" collapsed="false">
      <c r="A17" s="2" t="s">
        <v>189</v>
      </c>
      <c r="B17" s="21" t="n">
        <f aca="false">SUMIF('Monthly P&amp;L'!$C$6:$AL$6,1,'Monthly P&amp;L'!$C$43:$AL$43)</f>
        <v>5817.50291783733</v>
      </c>
      <c r="C17" s="21" t="n">
        <f aca="false">SUMIF('Monthly P&amp;L'!$C$6:$AL$6,2,'Monthly P&amp;L'!$C$43:$AL$43)</f>
        <v>6490.69758505172</v>
      </c>
      <c r="D17" s="21" t="n">
        <f aca="false">SUMIF('Monthly P&amp;L'!$C$6:$AL$6,3,'Monthly P&amp;L'!$C$43:$AL$43)</f>
        <v>7241.79355568899</v>
      </c>
    </row>
    <row r="18" customFormat="false" ht="15" hidden="false" customHeight="false" outlineLevel="0" collapsed="false">
      <c r="A18" s="3" t="s">
        <v>201</v>
      </c>
      <c r="B18" s="21" t="n">
        <f aca="false">INDEX('Monthly P&amp;L'!$C$47:$AL$47,12)</f>
        <v>47386.3588835792</v>
      </c>
      <c r="C18" s="21" t="n">
        <f aca="false">INDEX('Monthly P&amp;L'!$C$47:$AL$47,24)</f>
        <v>30749.3333333333</v>
      </c>
      <c r="D18" s="21" t="n">
        <f aca="false">INDEX('Monthly P&amp;L'!$C$47:$AL$47,36)</f>
        <v>50738.7222023239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1" t="s">
        <v>202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</row>
    <row r="3" customFormat="false" ht="15" hidden="false" customHeight="false" outlineLevel="0" collapsed="false">
      <c r="A3" s="2" t="s">
        <v>203</v>
      </c>
      <c r="B3" s="21" t="n">
        <f aca="false">'Monthly P&amp;L'!$N$25+'Monthly P&amp;L'!$N$26+'Monthly P&amp;L'!$N$27+'Monthly P&amp;L'!$N$28+'Monthly P&amp;L'!$N$29+'Monthly P&amp;L'!$N$32+'Monthly P&amp;L'!$N$33+'Monthly P&amp;L'!$N$36+Assumptions!$C$42</f>
        <v>15374.6666666667</v>
      </c>
      <c r="C3" s="4"/>
      <c r="D3" s="4"/>
      <c r="E3" s="4"/>
      <c r="F3" s="4"/>
    </row>
    <row r="4" customFormat="false" ht="15" hidden="false" customHeight="false" outlineLevel="0" collapsed="false">
      <c r="A4" s="2" t="s">
        <v>204</v>
      </c>
      <c r="B4" s="39" t="n">
        <f aca="false">INDEX(Assumptions!$C$19:$E$19,1)*INDEX(Assumptions!$C$20:$E$20,1)*(1-Assumptions!$C$21-Assumptions!$C$25-Assumptions!$C$26-Assumptions!$C$22*Assumptions!$C$23)-Assumptions!$C$30</f>
        <v>10.62375</v>
      </c>
      <c r="C4" s="4"/>
      <c r="D4" s="4"/>
      <c r="E4" s="4"/>
      <c r="F4" s="4"/>
    </row>
    <row r="5" customFormat="false" ht="15" hidden="false" customHeight="false" outlineLevel="0" collapsed="false">
      <c r="A5" s="2" t="s">
        <v>205</v>
      </c>
      <c r="B5" s="39" t="n">
        <f aca="false">Assumptions!$C$10/12*(1-Assumptions!$C$25)</f>
        <v>6.05</v>
      </c>
      <c r="C5" s="4"/>
      <c r="D5" s="4"/>
      <c r="E5" s="4"/>
      <c r="F5" s="4"/>
    </row>
    <row r="6" customFormat="false" ht="15" hidden="false" customHeight="false" outlineLevel="0" collapsed="false">
      <c r="A6" s="2" t="s">
        <v>206</v>
      </c>
      <c r="B6" s="39" t="n">
        <f aca="false">B4+B5</f>
        <v>16.67375</v>
      </c>
      <c r="C6" s="4"/>
      <c r="D6" s="4"/>
      <c r="E6" s="4"/>
      <c r="F6" s="4"/>
    </row>
    <row r="7" customFormat="false" ht="15" hidden="false" customHeight="false" outlineLevel="0" collapsed="false">
      <c r="A7" s="2" t="s">
        <v>207</v>
      </c>
      <c r="B7" s="40" t="n">
        <f aca="false">IF(B6&lt;=0,0,B3/B6)</f>
        <v>922.088112552166</v>
      </c>
      <c r="C7" s="4"/>
      <c r="D7" s="4"/>
      <c r="E7" s="4"/>
      <c r="F7" s="4"/>
    </row>
    <row r="8" customFormat="false" ht="15" hidden="false" customHeight="false" outlineLevel="0" collapsed="false">
      <c r="A8" s="2" t="s">
        <v>208</v>
      </c>
      <c r="B8" s="41" t="n">
        <f aca="false">IFERROR(MATCH(1,'Monthly P&amp;L'!$C$49:$AL$49,0),"Not within 36 months")</f>
        <v>25</v>
      </c>
      <c r="C8" s="4"/>
      <c r="D8" s="4"/>
      <c r="E8" s="4"/>
      <c r="F8" s="4"/>
    </row>
    <row r="9" customFormat="false" ht="15" hidden="false" customHeight="false" outlineLevel="0" collapsed="false">
      <c r="A9" s="2" t="s">
        <v>209</v>
      </c>
      <c r="B9" s="21" t="n">
        <f aca="false">MIN('Monthly P&amp;L'!$C$47:$AL$47)</f>
        <v>30749.3333333333</v>
      </c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1" customFormat="false" ht="15" hidden="false" customHeight="false" outlineLevel="0" collapsed="false">
      <c r="A11" s="5" t="s">
        <v>210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</row>
    <row r="13" customFormat="false" ht="15" hidden="false" customHeight="false" outlineLevel="0" collapsed="false">
      <c r="A13" s="3" t="s">
        <v>211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5" t="s">
        <v>212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3" t="s">
        <v>213</v>
      </c>
      <c r="B15" s="15" t="n">
        <v>0.25</v>
      </c>
      <c r="C15" s="15" t="n">
        <v>0.28</v>
      </c>
      <c r="D15" s="15" t="n">
        <v>0.32</v>
      </c>
      <c r="E15" s="15" t="n">
        <v>0.36</v>
      </c>
      <c r="F15" s="15" t="n">
        <v>0.4</v>
      </c>
    </row>
    <row r="16" customFormat="false" ht="15" hidden="false" customHeight="false" outlineLevel="0" collapsed="false">
      <c r="A16" s="17" t="n">
        <v>45</v>
      </c>
      <c r="B16" s="42" t="n">
        <f aca="false">IF((INDEX(Assumptions!$C$19:$E$19,1)*$A16*(B$15-Assumptions!$C$25-Assumptions!$C$26-Assumptions!$C$22*Assumptions!$C$23)-Assumptions!$C$30+Assumptions!$C$10/12*(1-Assumptions!$C$25))&lt;=0,"n/a",$B$3/(INDEX(Assumptions!$C$19:$E$19,1)*$A16*(B$15-Assumptions!$C$25-Assumptions!$C$26-Assumptions!$C$22*Assumptions!$C$23)-Assumptions!$C$30+Assumptions!$C$10/12*(1-Assumptions!$C$25)))</f>
        <v>1359.23674807529</v>
      </c>
      <c r="C16" s="42" t="n">
        <f aca="false">IF((INDEX(Assumptions!$C$19:$E$19,1)*$A16*(C$15-Assumptions!$C$25-Assumptions!$C$26-Assumptions!$C$22*Assumptions!$C$23)-Assumptions!$C$30+Assumptions!$C$10/12*(1-Assumptions!$C$25))&lt;=0,"n/a",$B$3/(INDEX(Assumptions!$C$19:$E$19,1)*$A16*(C$15-Assumptions!$C$25-Assumptions!$C$26-Assumptions!$C$22*Assumptions!$C$23)-Assumptions!$C$30+Assumptions!$C$10/12*(1-Assumptions!$C$25)))</f>
        <v>1261.3817386251</v>
      </c>
      <c r="D16" s="42" t="n">
        <f aca="false">IF((INDEX(Assumptions!$C$19:$E$19,1)*$A16*(D$15-Assumptions!$C$25-Assumptions!$C$26-Assumptions!$C$22*Assumptions!$C$23)-Assumptions!$C$30+Assumptions!$C$10/12*(1-Assumptions!$C$25))&lt;=0,"n/a",$B$3/(INDEX(Assumptions!$C$19:$E$19,1)*$A16*(D$15-Assumptions!$C$25-Assumptions!$C$26-Assumptions!$C$22*Assumptions!$C$23)-Assumptions!$C$30+Assumptions!$C$10/12*(1-Assumptions!$C$25)))</f>
        <v>1150.90608527494</v>
      </c>
      <c r="E16" s="42" t="n">
        <f aca="false">IF((INDEX(Assumptions!$C$19:$E$19,1)*$A16*(E$15-Assumptions!$C$25-Assumptions!$C$26-Assumptions!$C$22*Assumptions!$C$23)-Assumptions!$C$30+Assumptions!$C$10/12*(1-Assumptions!$C$25))&lt;=0,"n/a",$B$3/(INDEX(Assumptions!$C$19:$E$19,1)*$A16*(E$15-Assumptions!$C$25-Assumptions!$C$26-Assumptions!$C$22*Assumptions!$C$23)-Assumptions!$C$30+Assumptions!$C$10/12*(1-Assumptions!$C$25)))</f>
        <v>1058.2236370415</v>
      </c>
      <c r="F16" s="42" t="n">
        <f aca="false">IF((INDEX(Assumptions!$C$19:$E$19,1)*$A16*(F$15-Assumptions!$C$25-Assumptions!$C$26-Assumptions!$C$22*Assumptions!$C$23)-Assumptions!$C$30+Assumptions!$C$10/12*(1-Assumptions!$C$25))&lt;=0,"n/a",$B$3/(INDEX(Assumptions!$C$19:$E$19,1)*$A16*(F$15-Assumptions!$C$25-Assumptions!$C$26-Assumptions!$C$22*Assumptions!$C$23)-Assumptions!$C$30+Assumptions!$C$10/12*(1-Assumptions!$C$25)))</f>
        <v>979.356105847069</v>
      </c>
    </row>
    <row r="17" customFormat="false" ht="15" hidden="false" customHeight="false" outlineLevel="0" collapsed="false">
      <c r="A17" s="17" t="n">
        <v>55</v>
      </c>
      <c r="B17" s="42" t="n">
        <f aca="false">IF((INDEX(Assumptions!$C$19:$E$19,1)*$A17*(B$15-Assumptions!$C$25-Assumptions!$C$26-Assumptions!$C$22*Assumptions!$C$23)-Assumptions!$C$30+Assumptions!$C$10/12*(1-Assumptions!$C$25))&lt;=0,"n/a",$B$3/(INDEX(Assumptions!$C$19:$E$19,1)*$A17*(B$15-Assumptions!$C$25-Assumptions!$C$26-Assumptions!$C$22*Assumptions!$C$23)-Assumptions!$C$30+Assumptions!$C$10/12*(1-Assumptions!$C$25)))</f>
        <v>1228.6218492991</v>
      </c>
      <c r="C17" s="42" t="n">
        <f aca="false">IF((INDEX(Assumptions!$C$19:$E$19,1)*$A17*(C$15-Assumptions!$C$25-Assumptions!$C$26-Assumptions!$C$22*Assumptions!$C$23)-Assumptions!$C$30+Assumptions!$C$10/12*(1-Assumptions!$C$25))&lt;=0,"n/a",$B$3/(INDEX(Assumptions!$C$19:$E$19,1)*$A17*(C$15-Assumptions!$C$25-Assumptions!$C$26-Assumptions!$C$22*Assumptions!$C$23)-Assumptions!$C$30+Assumptions!$C$10/12*(1-Assumptions!$C$25)))</f>
        <v>1131.63431165087</v>
      </c>
      <c r="D17" s="42" t="n">
        <f aca="false">IF((INDEX(Assumptions!$C$19:$E$19,1)*$A17*(D$15-Assumptions!$C$25-Assumptions!$C$26-Assumptions!$C$22*Assumptions!$C$23)-Assumptions!$C$30+Assumptions!$C$10/12*(1-Assumptions!$C$25))&lt;=0,"n/a",$B$3/(INDEX(Assumptions!$C$19:$E$19,1)*$A17*(D$15-Assumptions!$C$25-Assumptions!$C$26-Assumptions!$C$22*Assumptions!$C$23)-Assumptions!$C$30+Assumptions!$C$10/12*(1-Assumptions!$C$25)))</f>
        <v>1023.86858680874</v>
      </c>
      <c r="E17" s="42" t="n">
        <f aca="false">IF((INDEX(Assumptions!$C$19:$E$19,1)*$A17*(E$15-Assumptions!$C$25-Assumptions!$C$26-Assumptions!$C$22*Assumptions!$C$23)-Assumptions!$C$30+Assumptions!$C$10/12*(1-Assumptions!$C$25))&lt;=0,"n/a",$B$3/(INDEX(Assumptions!$C$19:$E$19,1)*$A17*(E$15-Assumptions!$C$25-Assumptions!$C$26-Assumptions!$C$22*Assumptions!$C$23)-Assumptions!$C$30+Assumptions!$C$10/12*(1-Assumptions!$C$25)))</f>
        <v>934.843302677916</v>
      </c>
      <c r="F17" s="42" t="n">
        <f aca="false">IF((INDEX(Assumptions!$C$19:$E$19,1)*$A17*(F$15-Assumptions!$C$25-Assumptions!$C$26-Assumptions!$C$22*Assumptions!$C$23)-Assumptions!$C$30+Assumptions!$C$10/12*(1-Assumptions!$C$25))&lt;=0,"n/a",$B$3/(INDEX(Assumptions!$C$19:$E$19,1)*$A17*(F$15-Assumptions!$C$25-Assumptions!$C$26-Assumptions!$C$22*Assumptions!$C$23)-Assumptions!$C$30+Assumptions!$C$10/12*(1-Assumptions!$C$25)))</f>
        <v>860.061067990584</v>
      </c>
    </row>
    <row r="18" customFormat="false" ht="15" hidden="false" customHeight="false" outlineLevel="0" collapsed="false">
      <c r="A18" s="17" t="n">
        <v>65</v>
      </c>
      <c r="B18" s="42" t="n">
        <f aca="false">IF((INDEX(Assumptions!$C$19:$E$19,1)*$A18*(B$15-Assumptions!$C$25-Assumptions!$C$26-Assumptions!$C$22*Assumptions!$C$23)-Assumptions!$C$30+Assumptions!$C$10/12*(1-Assumptions!$C$25))&lt;=0,"n/a",$B$3/(INDEX(Assumptions!$C$19:$E$19,1)*$A18*(B$15-Assumptions!$C$25-Assumptions!$C$26-Assumptions!$C$22*Assumptions!$C$23)-Assumptions!$C$30+Assumptions!$C$10/12*(1-Assumptions!$C$25)))</f>
        <v>1120.90889759713</v>
      </c>
      <c r="C18" s="42" t="n">
        <f aca="false">IF((INDEX(Assumptions!$C$19:$E$19,1)*$A18*(C$15-Assumptions!$C$25-Assumptions!$C$26-Assumptions!$C$22*Assumptions!$C$23)-Assumptions!$C$30+Assumptions!$C$10/12*(1-Assumptions!$C$25))&lt;=0,"n/a",$B$3/(INDEX(Assumptions!$C$19:$E$19,1)*$A18*(C$15-Assumptions!$C$25-Assumptions!$C$26-Assumptions!$C$22*Assumptions!$C$23)-Assumptions!$C$30+Assumptions!$C$10/12*(1-Assumptions!$C$25)))</f>
        <v>1026.08937460026</v>
      </c>
      <c r="D18" s="42" t="n">
        <f aca="false">IF((INDEX(Assumptions!$C$19:$E$19,1)*$A18*(D$15-Assumptions!$C$25-Assumptions!$C$26-Assumptions!$C$22*Assumptions!$C$23)-Assumptions!$C$30+Assumptions!$C$10/12*(1-Assumptions!$C$25))&lt;=0,"n/a",$B$3/(INDEX(Assumptions!$C$19:$E$19,1)*$A18*(D$15-Assumptions!$C$25-Assumptions!$C$26-Assumptions!$C$22*Assumptions!$C$23)-Assumptions!$C$30+Assumptions!$C$10/12*(1-Assumptions!$C$25)))</f>
        <v>922.088112552166</v>
      </c>
      <c r="E18" s="42" t="n">
        <f aca="false">IF((INDEX(Assumptions!$C$19:$E$19,1)*$A18*(E$15-Assumptions!$C$25-Assumptions!$C$26-Assumptions!$C$22*Assumptions!$C$23)-Assumptions!$C$30+Assumptions!$C$10/12*(1-Assumptions!$C$25))&lt;=0,"n/a",$B$3/(INDEX(Assumptions!$C$19:$E$19,1)*$A18*(E$15-Assumptions!$C$25-Assumptions!$C$26-Assumptions!$C$22*Assumptions!$C$23)-Assumptions!$C$30+Assumptions!$C$10/12*(1-Assumptions!$C$25)))</f>
        <v>837.229142558937</v>
      </c>
      <c r="F18" s="42" t="n">
        <f aca="false">IF((INDEX(Assumptions!$C$19:$E$19,1)*$A18*(F$15-Assumptions!$C$25-Assumptions!$C$26-Assumptions!$C$22*Assumptions!$C$23)-Assumptions!$C$30+Assumptions!$C$10/12*(1-Assumptions!$C$25))&lt;=0,"n/a",$B$3/(INDEX(Assumptions!$C$19:$E$19,1)*$A18*(F$15-Assumptions!$C$25-Assumptions!$C$26-Assumptions!$C$22*Assumptions!$C$23)-Assumptions!$C$30+Assumptions!$C$10/12*(1-Assumptions!$C$25)))</f>
        <v>766.672899914812</v>
      </c>
    </row>
    <row r="19" customFormat="false" ht="15" hidden="false" customHeight="false" outlineLevel="0" collapsed="false">
      <c r="A19" s="17" t="n">
        <v>75</v>
      </c>
      <c r="B19" s="42" t="n">
        <f aca="false">IF((INDEX(Assumptions!$C$19:$E$19,1)*$A19*(B$15-Assumptions!$C$25-Assumptions!$C$26-Assumptions!$C$22*Assumptions!$C$23)-Assumptions!$C$30+Assumptions!$C$10/12*(1-Assumptions!$C$25))&lt;=0,"n/a",$B$3/(INDEX(Assumptions!$C$19:$E$19,1)*$A19*(B$15-Assumptions!$C$25-Assumptions!$C$26-Assumptions!$C$22*Assumptions!$C$23)-Assumptions!$C$30+Assumptions!$C$10/12*(1-Assumptions!$C$25)))</f>
        <v>1030.55997765675</v>
      </c>
      <c r="C19" s="42" t="n">
        <f aca="false">IF((INDEX(Assumptions!$C$19:$E$19,1)*$A19*(C$15-Assumptions!$C$25-Assumptions!$C$26-Assumptions!$C$22*Assumptions!$C$23)-Assumptions!$C$30+Assumptions!$C$10/12*(1-Assumptions!$C$25))&lt;=0,"n/a",$B$3/(INDEX(Assumptions!$C$19:$E$19,1)*$A19*(C$15-Assumptions!$C$25-Assumptions!$C$26-Assumptions!$C$22*Assumptions!$C$23)-Assumptions!$C$30+Assumptions!$C$10/12*(1-Assumptions!$C$25)))</f>
        <v>938.552715248633</v>
      </c>
      <c r="D19" s="42" t="n">
        <f aca="false">IF((INDEX(Assumptions!$C$19:$E$19,1)*$A19*(D$15-Assumptions!$C$25-Assumptions!$C$26-Assumptions!$C$22*Assumptions!$C$23)-Assumptions!$C$30+Assumptions!$C$10/12*(1-Assumptions!$C$25))&lt;=0,"n/a",$B$3/(INDEX(Assumptions!$C$19:$E$19,1)*$A19*(D$15-Assumptions!$C$25-Assumptions!$C$26-Assumptions!$C$22*Assumptions!$C$23)-Assumptions!$C$30+Assumptions!$C$10/12*(1-Assumptions!$C$25)))</f>
        <v>838.713490169337</v>
      </c>
      <c r="E19" s="42" t="n">
        <f aca="false">IF((INDEX(Assumptions!$C$19:$E$19,1)*$A19*(E$15-Assumptions!$C$25-Assumptions!$C$26-Assumptions!$C$22*Assumptions!$C$23)-Assumptions!$C$30+Assumptions!$C$10/12*(1-Assumptions!$C$25))&lt;=0,"n/a",$B$3/(INDEX(Assumptions!$C$19:$E$19,1)*$A19*(E$15-Assumptions!$C$25-Assumptions!$C$26-Assumptions!$C$22*Assumptions!$C$23)-Assumptions!$C$30+Assumptions!$C$10/12*(1-Assumptions!$C$25)))</f>
        <v>758.072932717001</v>
      </c>
      <c r="F19" s="42" t="n">
        <f aca="false">IF((INDEX(Assumptions!$C$19:$E$19,1)*$A19*(F$15-Assumptions!$C$25-Assumptions!$C$26-Assumptions!$C$22*Assumptions!$C$23)-Assumptions!$C$30+Assumptions!$C$10/12*(1-Assumptions!$C$25))&lt;=0,"n/a",$B$3/(INDEX(Assumptions!$C$19:$E$19,1)*$A19*(F$15-Assumptions!$C$25-Assumptions!$C$26-Assumptions!$C$22*Assumptions!$C$23)-Assumptions!$C$30+Assumptions!$C$10/12*(1-Assumptions!$C$25)))</f>
        <v>691.579046012558</v>
      </c>
    </row>
    <row r="20" customFormat="false" ht="15" hidden="false" customHeight="false" outlineLevel="0" collapsed="false">
      <c r="A20" s="17" t="n">
        <v>85</v>
      </c>
      <c r="B20" s="42" t="n">
        <f aca="false">IF((INDEX(Assumptions!$C$19:$E$19,1)*$A20*(B$15-Assumptions!$C$25-Assumptions!$C$26-Assumptions!$C$22*Assumptions!$C$23)-Assumptions!$C$30+Assumptions!$C$10/12*(1-Assumptions!$C$25))&lt;=0,"n/a",$B$3/(INDEX(Assumptions!$C$19:$E$19,1)*$A20*(B$15-Assumptions!$C$25-Assumptions!$C$26-Assumptions!$C$22*Assumptions!$C$23)-Assumptions!$C$30+Assumptions!$C$10/12*(1-Assumptions!$C$25)))</f>
        <v>953.68948851154</v>
      </c>
      <c r="C20" s="42" t="n">
        <f aca="false">IF((INDEX(Assumptions!$C$19:$E$19,1)*$A20*(C$15-Assumptions!$C$25-Assumptions!$C$26-Assumptions!$C$22*Assumptions!$C$23)-Assumptions!$C$30+Assumptions!$C$10/12*(1-Assumptions!$C$25))&lt;=0,"n/a",$B$3/(INDEX(Assumptions!$C$19:$E$19,1)*$A20*(C$15-Assumptions!$C$25-Assumptions!$C$26-Assumptions!$C$22*Assumptions!$C$23)-Assumptions!$C$30+Assumptions!$C$10/12*(1-Assumptions!$C$25)))</f>
        <v>864.777707469123</v>
      </c>
      <c r="D20" s="42" t="n">
        <f aca="false">IF((INDEX(Assumptions!$C$19:$E$19,1)*$A20*(D$15-Assumptions!$C$25-Assumptions!$C$26-Assumptions!$C$22*Assumptions!$C$23)-Assumptions!$C$30+Assumptions!$C$10/12*(1-Assumptions!$C$25))&lt;=0,"n/a",$B$3/(INDEX(Assumptions!$C$19:$E$19,1)*$A20*(D$15-Assumptions!$C$25-Assumptions!$C$26-Assumptions!$C$22*Assumptions!$C$23)-Assumptions!$C$30+Assumptions!$C$10/12*(1-Assumptions!$C$25)))</f>
        <v>769.16598920226</v>
      </c>
      <c r="E20" s="42" t="n">
        <f aca="false">IF((INDEX(Assumptions!$C$19:$E$19,1)*$A20*(E$15-Assumptions!$C$25-Assumptions!$C$26-Assumptions!$C$22*Assumptions!$C$23)-Assumptions!$C$30+Assumptions!$C$10/12*(1-Assumptions!$C$25))&lt;=0,"n/a",$B$3/(INDEX(Assumptions!$C$19:$E$19,1)*$A20*(E$15-Assumptions!$C$25-Assumptions!$C$26-Assumptions!$C$22*Assumptions!$C$23)-Assumptions!$C$30+Assumptions!$C$10/12*(1-Assumptions!$C$25)))</f>
        <v>692.591549824502</v>
      </c>
      <c r="F20" s="42" t="n">
        <f aca="false">IF((INDEX(Assumptions!$C$19:$E$19,1)*$A20*(F$15-Assumptions!$C$25-Assumptions!$C$26-Assumptions!$C$22*Assumptions!$C$23)-Assumptions!$C$30+Assumptions!$C$10/12*(1-Assumptions!$C$25))&lt;=0,"n/a",$B$3/(INDEX(Assumptions!$C$19:$E$19,1)*$A20*(F$15-Assumptions!$C$25-Assumptions!$C$26-Assumptions!$C$22*Assumptions!$C$23)-Assumptions!$C$30+Assumptions!$C$10/12*(1-Assumptions!$C$25)))</f>
        <v>629.88340929653</v>
      </c>
    </row>
    <row r="21" customFormat="false" ht="15" hidden="false" customHeight="false" outlineLevel="0" collapsed="false">
      <c r="A21" s="17" t="n">
        <v>100</v>
      </c>
      <c r="B21" s="42" t="n">
        <f aca="false">IF((INDEX(Assumptions!$C$19:$E$19,1)*$A21*(B$15-Assumptions!$C$25-Assumptions!$C$26-Assumptions!$C$22*Assumptions!$C$23)-Assumptions!$C$30+Assumptions!$C$10/12*(1-Assumptions!$C$25))&lt;=0,"n/a",$B$3/(INDEX(Assumptions!$C$19:$E$19,1)*$A21*(B$15-Assumptions!$C$25-Assumptions!$C$26-Assumptions!$C$22*Assumptions!$C$23)-Assumptions!$C$30+Assumptions!$C$10/12*(1-Assumptions!$C$25)))</f>
        <v>857.721989772199</v>
      </c>
      <c r="C21" s="42" t="n">
        <f aca="false">IF((INDEX(Assumptions!$C$19:$E$19,1)*$A21*(C$15-Assumptions!$C$25-Assumptions!$C$26-Assumptions!$C$22*Assumptions!$C$23)-Assumptions!$C$30+Assumptions!$C$10/12*(1-Assumptions!$C$25))&lt;=0,"n/a",$B$3/(INDEX(Assumptions!$C$19:$E$19,1)*$A21*(C$15-Assumptions!$C$25-Assumptions!$C$26-Assumptions!$C$22*Assumptions!$C$23)-Assumptions!$C$30+Assumptions!$C$10/12*(1-Assumptions!$C$25)))</f>
        <v>773.568134171908</v>
      </c>
      <c r="D21" s="42" t="n">
        <f aca="false">IF((INDEX(Assumptions!$C$19:$E$19,1)*$A21*(D$15-Assumptions!$C$25-Assumptions!$C$26-Assumptions!$C$22*Assumptions!$C$23)-Assumptions!$C$30+Assumptions!$C$10/12*(1-Assumptions!$C$25))&lt;=0,"n/a",$B$3/(INDEX(Assumptions!$C$19:$E$19,1)*$A21*(D$15-Assumptions!$C$25-Assumptions!$C$26-Assumptions!$C$22*Assumptions!$C$23)-Assumptions!$C$30+Assumptions!$C$10/12*(1-Assumptions!$C$25)))</f>
        <v>684.078605858361</v>
      </c>
      <c r="E21" s="42" t="n">
        <f aca="false">IF((INDEX(Assumptions!$C$19:$E$19,1)*$A21*(E$15-Assumptions!$C$25-Assumptions!$C$26-Assumptions!$C$22*Assumptions!$C$23)-Assumptions!$C$30+Assumptions!$C$10/12*(1-Assumptions!$C$25))&lt;=0,"n/a",$B$3/(INDEX(Assumptions!$C$19:$E$19,1)*$A21*(E$15-Assumptions!$C$25-Assumptions!$C$26-Assumptions!$C$22*Assumptions!$C$23)-Assumptions!$C$30+Assumptions!$C$10/12*(1-Assumptions!$C$25)))</f>
        <v>613.147224991692</v>
      </c>
      <c r="F21" s="42" t="n">
        <f aca="false">IF((INDEX(Assumptions!$C$19:$E$19,1)*$A21*(F$15-Assumptions!$C$25-Assumptions!$C$26-Assumptions!$C$22*Assumptions!$C$23)-Assumptions!$C$30+Assumptions!$C$10/12*(1-Assumptions!$C$25))&lt;=0,"n/a",$B$3/(INDEX(Assumptions!$C$19:$E$19,1)*$A21*(F$15-Assumptions!$C$25-Assumptions!$C$26-Assumptions!$C$22*Assumptions!$C$23)-Assumptions!$C$30+Assumptions!$C$10/12*(1-Assumptions!$C$25)))</f>
        <v>555.543510990666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3" t="s">
        <v>214</v>
      </c>
      <c r="B1" s="3" t="s">
        <v>215</v>
      </c>
      <c r="C1" s="3" t="s">
        <v>216</v>
      </c>
      <c r="D1" s="4"/>
      <c r="E1" s="5" t="s">
        <v>217</v>
      </c>
    </row>
    <row r="2" customFormat="false" ht="15" hidden="false" customHeight="false" outlineLevel="0" collapsed="false">
      <c r="A2" s="43" t="str">
        <f aca="false">TEXT('Monthly P&amp;L'!C$5,"yyyy-mm")</f>
        <v>2027-04</v>
      </c>
      <c r="B2" s="2" t="s">
        <v>218</v>
      </c>
      <c r="C2" s="41" t="n">
        <f aca="false">ROUND('Monthly P&amp;L'!C16,0)</f>
        <v>8873</v>
      </c>
      <c r="D2" s="4"/>
      <c r="E2" s="4"/>
    </row>
    <row r="3" customFormat="false" ht="15" hidden="false" customHeight="false" outlineLevel="0" collapsed="false">
      <c r="A3" s="43" t="str">
        <f aca="false">TEXT('Monthly P&amp;L'!C$5,"yyyy-mm")</f>
        <v>2027-04</v>
      </c>
      <c r="B3" s="2" t="s">
        <v>219</v>
      </c>
      <c r="C3" s="41" t="n">
        <f aca="false">ROUND('Monthly P&amp;L'!C17,0)</f>
        <v>-160</v>
      </c>
      <c r="D3" s="4"/>
      <c r="E3" s="4"/>
    </row>
    <row r="4" customFormat="false" ht="15" hidden="false" customHeight="false" outlineLevel="0" collapsed="false">
      <c r="A4" s="43" t="str">
        <f aca="false">TEXT('Monthly P&amp;L'!C$5,"yyyy-mm")</f>
        <v>2027-04</v>
      </c>
      <c r="B4" s="2" t="s">
        <v>220</v>
      </c>
      <c r="C4" s="41" t="n">
        <f aca="false">ROUND('Monthly P&amp;L'!C18,0)</f>
        <v>20250</v>
      </c>
      <c r="D4" s="4"/>
      <c r="E4" s="4"/>
    </row>
    <row r="5" customFormat="false" ht="15" hidden="false" customHeight="false" outlineLevel="0" collapsed="false">
      <c r="A5" s="43" t="str">
        <f aca="false">TEXT('Monthly P&amp;L'!C$5,"yyyy-mm")</f>
        <v>2027-04</v>
      </c>
      <c r="B5" s="2" t="s">
        <v>221</v>
      </c>
      <c r="C5" s="41" t="n">
        <f aca="false">ROUND('Monthly P&amp;L'!C21,0)</f>
        <v>6033</v>
      </c>
      <c r="D5" s="4"/>
      <c r="E5" s="4"/>
    </row>
    <row r="6" customFormat="false" ht="15" hidden="false" customHeight="false" outlineLevel="0" collapsed="false">
      <c r="A6" s="43" t="str">
        <f aca="false">TEXT('Monthly P&amp;L'!C$5,"yyyy-mm")</f>
        <v>2027-04</v>
      </c>
      <c r="B6" s="2" t="s">
        <v>222</v>
      </c>
      <c r="C6" s="41" t="n">
        <f aca="false">ROUND('Monthly P&amp;L'!C25,0)</f>
        <v>3600</v>
      </c>
      <c r="D6" s="4"/>
      <c r="E6" s="4"/>
    </row>
    <row r="7" customFormat="false" ht="15" hidden="false" customHeight="false" outlineLevel="0" collapsed="false">
      <c r="A7" s="43" t="str">
        <f aca="false">TEXT('Monthly P&amp;L'!C$5,"yyyy-mm")</f>
        <v>2027-04</v>
      </c>
      <c r="B7" s="2" t="s">
        <v>223</v>
      </c>
      <c r="C7" s="41" t="n">
        <f aca="false">ROUND('Monthly P&amp;L'!C26,0)</f>
        <v>900</v>
      </c>
      <c r="D7" s="4"/>
      <c r="E7" s="4"/>
    </row>
    <row r="8" customFormat="false" ht="15" hidden="false" customHeight="false" outlineLevel="0" collapsed="false">
      <c r="A8" s="43" t="str">
        <f aca="false">TEXT('Monthly P&amp;L'!C$5,"yyyy-mm")</f>
        <v>2027-04</v>
      </c>
      <c r="B8" s="2" t="s">
        <v>224</v>
      </c>
      <c r="C8" s="41" t="n">
        <f aca="false">ROUND('Monthly P&amp;L'!C27,0)</f>
        <v>7075</v>
      </c>
      <c r="D8" s="4"/>
      <c r="E8" s="4"/>
    </row>
    <row r="9" customFormat="false" ht="15" hidden="false" customHeight="false" outlineLevel="0" collapsed="false">
      <c r="A9" s="43" t="str">
        <f aca="false">TEXT('Monthly P&amp;L'!C$5,"yyyy-mm")</f>
        <v>2027-04</v>
      </c>
      <c r="B9" s="2" t="s">
        <v>225</v>
      </c>
      <c r="C9" s="41" t="n">
        <f aca="false">ROUND('Monthly P&amp;L'!C28,0)</f>
        <v>650</v>
      </c>
      <c r="D9" s="4"/>
      <c r="E9" s="4"/>
    </row>
    <row r="10" customFormat="false" ht="15" hidden="false" customHeight="false" outlineLevel="0" collapsed="false">
      <c r="A10" s="43" t="str">
        <f aca="false">TEXT('Monthly P&amp;L'!C$5,"yyyy-mm")</f>
        <v>2027-04</v>
      </c>
      <c r="B10" s="2" t="s">
        <v>226</v>
      </c>
      <c r="C10" s="41" t="n">
        <f aca="false">ROUND('Monthly P&amp;L'!C29,0)</f>
        <v>150</v>
      </c>
      <c r="D10" s="4"/>
      <c r="E10" s="4"/>
    </row>
    <row r="11" customFormat="false" ht="15" hidden="false" customHeight="false" outlineLevel="0" collapsed="false">
      <c r="A11" s="43" t="str">
        <f aca="false">TEXT('Monthly P&amp;L'!C$5,"yyyy-mm")</f>
        <v>2027-04</v>
      </c>
      <c r="B11" s="2" t="s">
        <v>227</v>
      </c>
      <c r="C11" s="41" t="n">
        <f aca="false">ROUND('Monthly P&amp;L'!C30,0)</f>
        <v>232</v>
      </c>
      <c r="D11" s="4"/>
      <c r="E11" s="4"/>
    </row>
    <row r="12" customFormat="false" ht="15" hidden="false" customHeight="false" outlineLevel="0" collapsed="false">
      <c r="A12" s="43" t="str">
        <f aca="false">TEXT('Monthly P&amp;L'!C$5,"yyyy-mm")</f>
        <v>2027-04</v>
      </c>
      <c r="B12" s="2" t="s">
        <v>228</v>
      </c>
      <c r="C12" s="41" t="n">
        <f aca="false">ROUND('Monthly P&amp;L'!C31,0)</f>
        <v>932</v>
      </c>
      <c r="D12" s="4"/>
      <c r="E12" s="4"/>
    </row>
    <row r="13" customFormat="false" ht="15" hidden="false" customHeight="false" outlineLevel="0" collapsed="false">
      <c r="A13" s="43" t="str">
        <f aca="false">TEXT('Monthly P&amp;L'!C$5,"yyyy-mm")</f>
        <v>2027-04</v>
      </c>
      <c r="B13" s="2" t="s">
        <v>229</v>
      </c>
      <c r="C13" s="41" t="n">
        <f aca="false">ROUND('Monthly P&amp;L'!C32,0)</f>
        <v>1500</v>
      </c>
      <c r="D13" s="4"/>
      <c r="E13" s="4"/>
    </row>
    <row r="14" customFormat="false" ht="15" hidden="false" customHeight="false" outlineLevel="0" collapsed="false">
      <c r="A14" s="43" t="str">
        <f aca="false">TEXT('Monthly P&amp;L'!C$5,"yyyy-mm")</f>
        <v>2027-04</v>
      </c>
      <c r="B14" s="2" t="s">
        <v>230</v>
      </c>
      <c r="C14" s="41" t="n">
        <f aca="false">ROUND('Monthly P&amp;L'!C33,0)</f>
        <v>1000</v>
      </c>
      <c r="D14" s="4"/>
      <c r="E14" s="4"/>
    </row>
    <row r="15" customFormat="false" ht="15" hidden="false" customHeight="false" outlineLevel="0" collapsed="false">
      <c r="A15" s="43" t="str">
        <f aca="false">TEXT('Monthly P&amp;L'!C$5,"yyyy-mm")</f>
        <v>2027-04</v>
      </c>
      <c r="B15" s="2" t="s">
        <v>231</v>
      </c>
      <c r="C15" s="41" t="n">
        <f aca="false">ROUND('Monthly P&amp;L'!C34,0)</f>
        <v>0</v>
      </c>
      <c r="D15" s="4"/>
      <c r="E15" s="4"/>
    </row>
    <row r="16" customFormat="false" ht="15" hidden="false" customHeight="false" outlineLevel="0" collapsed="false">
      <c r="A16" s="43" t="str">
        <f aca="false">TEXT('Monthly P&amp;L'!C$5,"yyyy-mm")</f>
        <v>2027-04</v>
      </c>
      <c r="B16" s="2" t="s">
        <v>232</v>
      </c>
      <c r="C16" s="41" t="n">
        <f aca="false">ROUND('Monthly P&amp;L'!C35,0)</f>
        <v>133</v>
      </c>
      <c r="D16" s="4"/>
      <c r="E16" s="4"/>
    </row>
    <row r="17" customFormat="false" ht="15" hidden="false" customHeight="false" outlineLevel="0" collapsed="false">
      <c r="A17" s="43" t="str">
        <f aca="false">TEXT('Monthly P&amp;L'!C$5,"yyyy-mm")</f>
        <v>2027-04</v>
      </c>
      <c r="B17" s="2" t="s">
        <v>233</v>
      </c>
      <c r="C17" s="41" t="n">
        <f aca="false">ROUND('Monthly P&amp;L'!C36,0)</f>
        <v>300</v>
      </c>
      <c r="D17" s="4"/>
      <c r="E17" s="4"/>
    </row>
    <row r="18" customFormat="false" ht="15" hidden="false" customHeight="false" outlineLevel="0" collapsed="false">
      <c r="A18" s="43" t="str">
        <f aca="false">TEXT('Monthly P&amp;L'!C$5,"yyyy-mm")</f>
        <v>2027-04</v>
      </c>
      <c r="B18" s="2" t="s">
        <v>234</v>
      </c>
      <c r="C18" s="41" t="n">
        <f aca="false">ROUND('Monthly P&amp;L'!C40,0)</f>
        <v>560</v>
      </c>
      <c r="D18" s="4"/>
      <c r="E18" s="4"/>
    </row>
    <row r="19" customFormat="false" ht="15" hidden="false" customHeight="false" outlineLevel="0" collapsed="false">
      <c r="A19" s="43" t="str">
        <f aca="false">TEXT('Monthly P&amp;L'!C$5,"yyyy-mm")</f>
        <v>2027-04</v>
      </c>
      <c r="B19" s="2" t="s">
        <v>235</v>
      </c>
      <c r="C19" s="41" t="n">
        <f aca="false">ROUND('Monthly P&amp;L'!C42,0)</f>
        <v>917</v>
      </c>
      <c r="D19" s="4"/>
      <c r="E19" s="4"/>
    </row>
    <row r="20" customFormat="false" ht="15" hidden="false" customHeight="false" outlineLevel="0" collapsed="false">
      <c r="A20" s="43" t="str">
        <f aca="false">TEXT('Monthly P&amp;L'!D$5,"yyyy-mm")</f>
        <v>2027-05</v>
      </c>
      <c r="B20" s="2" t="s">
        <v>218</v>
      </c>
      <c r="C20" s="41" t="n">
        <f aca="false">ROUND('Monthly P&amp;L'!D16,0)</f>
        <v>11196</v>
      </c>
      <c r="D20" s="4"/>
      <c r="E20" s="4"/>
    </row>
    <row r="21" customFormat="false" ht="15" hidden="false" customHeight="false" outlineLevel="0" collapsed="false">
      <c r="A21" s="43" t="str">
        <f aca="false">TEXT('Monthly P&amp;L'!D$5,"yyyy-mm")</f>
        <v>2027-05</v>
      </c>
      <c r="B21" s="2" t="s">
        <v>219</v>
      </c>
      <c r="C21" s="41" t="n">
        <f aca="false">ROUND('Monthly P&amp;L'!D17,0)</f>
        <v>-202</v>
      </c>
      <c r="D21" s="4"/>
      <c r="E21" s="4"/>
    </row>
    <row r="22" customFormat="false" ht="15" hidden="false" customHeight="false" outlineLevel="0" collapsed="false">
      <c r="A22" s="43" t="str">
        <f aca="false">TEXT('Monthly P&amp;L'!D$5,"yyyy-mm")</f>
        <v>2027-05</v>
      </c>
      <c r="B22" s="2" t="s">
        <v>220</v>
      </c>
      <c r="C22" s="41" t="n">
        <f aca="false">ROUND('Monthly P&amp;L'!D18,0)</f>
        <v>4950</v>
      </c>
      <c r="D22" s="4"/>
      <c r="E22" s="4"/>
    </row>
    <row r="23" customFormat="false" ht="15" hidden="false" customHeight="false" outlineLevel="0" collapsed="false">
      <c r="A23" s="43" t="str">
        <f aca="false">TEXT('Monthly P&amp;L'!D$5,"yyyy-mm")</f>
        <v>2027-05</v>
      </c>
      <c r="B23" s="2" t="s">
        <v>221</v>
      </c>
      <c r="C23" s="41" t="n">
        <f aca="false">ROUND('Monthly P&amp;L'!D21,0)</f>
        <v>7613</v>
      </c>
      <c r="D23" s="4"/>
      <c r="E23" s="4"/>
    </row>
    <row r="24" customFormat="false" ht="15" hidden="false" customHeight="false" outlineLevel="0" collapsed="false">
      <c r="A24" s="43" t="str">
        <f aca="false">TEXT('Monthly P&amp;L'!D$5,"yyyy-mm")</f>
        <v>2027-05</v>
      </c>
      <c r="B24" s="2" t="s">
        <v>222</v>
      </c>
      <c r="C24" s="41" t="n">
        <f aca="false">ROUND('Monthly P&amp;L'!D25,0)</f>
        <v>3600</v>
      </c>
      <c r="D24" s="4"/>
      <c r="E24" s="4"/>
    </row>
    <row r="25" customFormat="false" ht="15" hidden="false" customHeight="false" outlineLevel="0" collapsed="false">
      <c r="A25" s="43" t="str">
        <f aca="false">TEXT('Monthly P&amp;L'!D$5,"yyyy-mm")</f>
        <v>2027-05</v>
      </c>
      <c r="B25" s="2" t="s">
        <v>223</v>
      </c>
      <c r="C25" s="41" t="n">
        <f aca="false">ROUND('Monthly P&amp;L'!D26,0)</f>
        <v>900</v>
      </c>
      <c r="D25" s="4"/>
      <c r="E25" s="4"/>
    </row>
    <row r="26" customFormat="false" ht="15" hidden="false" customHeight="false" outlineLevel="0" collapsed="false">
      <c r="A26" s="43" t="str">
        <f aca="false">TEXT('Monthly P&amp;L'!D$5,"yyyy-mm")</f>
        <v>2027-05</v>
      </c>
      <c r="B26" s="2" t="s">
        <v>224</v>
      </c>
      <c r="C26" s="41" t="n">
        <f aca="false">ROUND('Monthly P&amp;L'!D27,0)</f>
        <v>7075</v>
      </c>
      <c r="D26" s="4"/>
      <c r="E26" s="4"/>
    </row>
    <row r="27" customFormat="false" ht="15" hidden="false" customHeight="false" outlineLevel="0" collapsed="false">
      <c r="A27" s="43" t="str">
        <f aca="false">TEXT('Monthly P&amp;L'!D$5,"yyyy-mm")</f>
        <v>2027-05</v>
      </c>
      <c r="B27" s="2" t="s">
        <v>225</v>
      </c>
      <c r="C27" s="41" t="n">
        <f aca="false">ROUND('Monthly P&amp;L'!D28,0)</f>
        <v>650</v>
      </c>
      <c r="D27" s="4"/>
      <c r="E27" s="4"/>
    </row>
    <row r="28" customFormat="false" ht="15" hidden="false" customHeight="false" outlineLevel="0" collapsed="false">
      <c r="A28" s="43" t="str">
        <f aca="false">TEXT('Monthly P&amp;L'!D$5,"yyyy-mm")</f>
        <v>2027-05</v>
      </c>
      <c r="B28" s="2" t="s">
        <v>226</v>
      </c>
      <c r="C28" s="41" t="n">
        <f aca="false">ROUND('Monthly P&amp;L'!D29,0)</f>
        <v>150</v>
      </c>
      <c r="D28" s="4"/>
      <c r="E28" s="4"/>
    </row>
    <row r="29" customFormat="false" ht="15" hidden="false" customHeight="false" outlineLevel="0" collapsed="false">
      <c r="A29" s="43" t="str">
        <f aca="false">TEXT('Monthly P&amp;L'!D$5,"yyyy-mm")</f>
        <v>2027-05</v>
      </c>
      <c r="B29" s="2" t="s">
        <v>227</v>
      </c>
      <c r="C29" s="41" t="n">
        <f aca="false">ROUND('Monthly P&amp;L'!D30,0)</f>
        <v>240</v>
      </c>
      <c r="D29" s="4"/>
      <c r="E29" s="4"/>
    </row>
    <row r="30" customFormat="false" ht="15" hidden="false" customHeight="false" outlineLevel="0" collapsed="false">
      <c r="A30" s="43" t="str">
        <f aca="false">TEXT('Monthly P&amp;L'!D$5,"yyyy-mm")</f>
        <v>2027-05</v>
      </c>
      <c r="B30" s="2" t="s">
        <v>228</v>
      </c>
      <c r="C30" s="41" t="n">
        <f aca="false">ROUND('Monthly P&amp;L'!D31,0)</f>
        <v>517</v>
      </c>
      <c r="D30" s="4"/>
      <c r="E30" s="4"/>
    </row>
    <row r="31" customFormat="false" ht="15" hidden="false" customHeight="false" outlineLevel="0" collapsed="false">
      <c r="A31" s="43" t="str">
        <f aca="false">TEXT('Monthly P&amp;L'!D$5,"yyyy-mm")</f>
        <v>2027-05</v>
      </c>
      <c r="B31" s="2" t="s">
        <v>229</v>
      </c>
      <c r="C31" s="41" t="n">
        <f aca="false">ROUND('Monthly P&amp;L'!D32,0)</f>
        <v>1500</v>
      </c>
      <c r="D31" s="4"/>
      <c r="E31" s="4"/>
    </row>
    <row r="32" customFormat="false" ht="15" hidden="false" customHeight="false" outlineLevel="0" collapsed="false">
      <c r="A32" s="43" t="str">
        <f aca="false">TEXT('Monthly P&amp;L'!D$5,"yyyy-mm")</f>
        <v>2027-05</v>
      </c>
      <c r="B32" s="2" t="s">
        <v>230</v>
      </c>
      <c r="C32" s="41" t="n">
        <f aca="false">ROUND('Monthly P&amp;L'!D33,0)</f>
        <v>1000</v>
      </c>
      <c r="D32" s="4"/>
      <c r="E32" s="4"/>
    </row>
    <row r="33" customFormat="false" ht="15" hidden="false" customHeight="false" outlineLevel="0" collapsed="false">
      <c r="A33" s="43" t="str">
        <f aca="false">TEXT('Monthly P&amp;L'!D$5,"yyyy-mm")</f>
        <v>2027-05</v>
      </c>
      <c r="B33" s="2" t="s">
        <v>231</v>
      </c>
      <c r="C33" s="41" t="n">
        <f aca="false">ROUND('Monthly P&amp;L'!D34,0)</f>
        <v>0</v>
      </c>
      <c r="D33" s="4"/>
      <c r="E33" s="4"/>
    </row>
    <row r="34" customFormat="false" ht="15" hidden="false" customHeight="false" outlineLevel="0" collapsed="false">
      <c r="A34" s="43" t="str">
        <f aca="false">TEXT('Monthly P&amp;L'!D$5,"yyyy-mm")</f>
        <v>2027-05</v>
      </c>
      <c r="B34" s="2" t="s">
        <v>232</v>
      </c>
      <c r="C34" s="41" t="n">
        <f aca="false">ROUND('Monthly P&amp;L'!D35,0)</f>
        <v>168</v>
      </c>
      <c r="D34" s="4"/>
      <c r="E34" s="4"/>
    </row>
    <row r="35" customFormat="false" ht="15" hidden="false" customHeight="false" outlineLevel="0" collapsed="false">
      <c r="A35" s="43" t="str">
        <f aca="false">TEXT('Monthly P&amp;L'!D$5,"yyyy-mm")</f>
        <v>2027-05</v>
      </c>
      <c r="B35" s="2" t="s">
        <v>233</v>
      </c>
      <c r="C35" s="41" t="n">
        <f aca="false">ROUND('Monthly P&amp;L'!D36,0)</f>
        <v>300</v>
      </c>
      <c r="D35" s="4"/>
      <c r="E35" s="4"/>
    </row>
    <row r="36" customFormat="false" ht="15" hidden="false" customHeight="false" outlineLevel="0" collapsed="false">
      <c r="A36" s="43" t="str">
        <f aca="false">TEXT('Monthly P&amp;L'!D$5,"yyyy-mm")</f>
        <v>2027-05</v>
      </c>
      <c r="B36" s="2" t="s">
        <v>234</v>
      </c>
      <c r="C36" s="41" t="n">
        <f aca="false">ROUND('Monthly P&amp;L'!D40,0)</f>
        <v>560</v>
      </c>
      <c r="D36" s="4"/>
      <c r="E36" s="4"/>
    </row>
    <row r="37" customFormat="false" ht="15" hidden="false" customHeight="false" outlineLevel="0" collapsed="false">
      <c r="A37" s="43" t="str">
        <f aca="false">TEXT('Monthly P&amp;L'!D$5,"yyyy-mm")</f>
        <v>2027-05</v>
      </c>
      <c r="B37" s="2" t="s">
        <v>235</v>
      </c>
      <c r="C37" s="41" t="n">
        <f aca="false">ROUND('Monthly P&amp;L'!D42,0)</f>
        <v>912</v>
      </c>
      <c r="D37" s="4"/>
      <c r="E37" s="4"/>
    </row>
    <row r="38" customFormat="false" ht="15" hidden="false" customHeight="false" outlineLevel="0" collapsed="false">
      <c r="A38" s="43" t="str">
        <f aca="false">TEXT('Monthly P&amp;L'!E$5,"yyyy-mm")</f>
        <v>2027-06</v>
      </c>
      <c r="B38" s="2" t="s">
        <v>218</v>
      </c>
      <c r="C38" s="41" t="n">
        <f aca="false">ROUND('Monthly P&amp;L'!E16,0)</f>
        <v>13480</v>
      </c>
      <c r="D38" s="4"/>
      <c r="E38" s="4"/>
    </row>
    <row r="39" customFormat="false" ht="15" hidden="false" customHeight="false" outlineLevel="0" collapsed="false">
      <c r="A39" s="43" t="str">
        <f aca="false">TEXT('Monthly P&amp;L'!E$5,"yyyy-mm")</f>
        <v>2027-06</v>
      </c>
      <c r="B39" s="2" t="s">
        <v>219</v>
      </c>
      <c r="C39" s="41" t="n">
        <f aca="false">ROUND('Monthly P&amp;L'!E17,0)</f>
        <v>-243</v>
      </c>
      <c r="D39" s="4"/>
      <c r="E39" s="4"/>
    </row>
    <row r="40" customFormat="false" ht="15" hidden="false" customHeight="false" outlineLevel="0" collapsed="false">
      <c r="A40" s="43" t="str">
        <f aca="false">TEXT('Monthly P&amp;L'!E$5,"yyyy-mm")</f>
        <v>2027-06</v>
      </c>
      <c r="B40" s="2" t="s">
        <v>220</v>
      </c>
      <c r="C40" s="41" t="n">
        <f aca="false">ROUND('Monthly P&amp;L'!E18,0)</f>
        <v>4950</v>
      </c>
      <c r="D40" s="4"/>
      <c r="E40" s="4"/>
    </row>
    <row r="41" customFormat="false" ht="15" hidden="false" customHeight="false" outlineLevel="0" collapsed="false">
      <c r="A41" s="43" t="str">
        <f aca="false">TEXT('Monthly P&amp;L'!E$5,"yyyy-mm")</f>
        <v>2027-06</v>
      </c>
      <c r="B41" s="2" t="s">
        <v>221</v>
      </c>
      <c r="C41" s="41" t="n">
        <f aca="false">ROUND('Monthly P&amp;L'!E21,0)</f>
        <v>9167</v>
      </c>
      <c r="D41" s="4"/>
      <c r="E41" s="4"/>
    </row>
    <row r="42" customFormat="false" ht="15" hidden="false" customHeight="false" outlineLevel="0" collapsed="false">
      <c r="A42" s="43" t="str">
        <f aca="false">TEXT('Monthly P&amp;L'!E$5,"yyyy-mm")</f>
        <v>2027-06</v>
      </c>
      <c r="B42" s="2" t="s">
        <v>222</v>
      </c>
      <c r="C42" s="41" t="n">
        <f aca="false">ROUND('Monthly P&amp;L'!E25,0)</f>
        <v>3600</v>
      </c>
      <c r="D42" s="4"/>
      <c r="E42" s="4"/>
    </row>
    <row r="43" customFormat="false" ht="15" hidden="false" customHeight="false" outlineLevel="0" collapsed="false">
      <c r="A43" s="43" t="str">
        <f aca="false">TEXT('Monthly P&amp;L'!E$5,"yyyy-mm")</f>
        <v>2027-06</v>
      </c>
      <c r="B43" s="2" t="s">
        <v>223</v>
      </c>
      <c r="C43" s="41" t="n">
        <f aca="false">ROUND('Monthly P&amp;L'!E26,0)</f>
        <v>900</v>
      </c>
      <c r="D43" s="4"/>
      <c r="E43" s="4"/>
    </row>
    <row r="44" customFormat="false" ht="15" hidden="false" customHeight="false" outlineLevel="0" collapsed="false">
      <c r="A44" s="43" t="str">
        <f aca="false">TEXT('Monthly P&amp;L'!E$5,"yyyy-mm")</f>
        <v>2027-06</v>
      </c>
      <c r="B44" s="2" t="s">
        <v>224</v>
      </c>
      <c r="C44" s="41" t="n">
        <f aca="false">ROUND('Monthly P&amp;L'!E27,0)</f>
        <v>7075</v>
      </c>
      <c r="D44" s="4"/>
      <c r="E44" s="4"/>
    </row>
    <row r="45" customFormat="false" ht="15" hidden="false" customHeight="false" outlineLevel="0" collapsed="false">
      <c r="A45" s="43" t="str">
        <f aca="false">TEXT('Monthly P&amp;L'!E$5,"yyyy-mm")</f>
        <v>2027-06</v>
      </c>
      <c r="B45" s="2" t="s">
        <v>225</v>
      </c>
      <c r="C45" s="41" t="n">
        <f aca="false">ROUND('Monthly P&amp;L'!E28,0)</f>
        <v>650</v>
      </c>
      <c r="D45" s="4"/>
      <c r="E45" s="4"/>
    </row>
    <row r="46" customFormat="false" ht="15" hidden="false" customHeight="false" outlineLevel="0" collapsed="false">
      <c r="A46" s="43" t="str">
        <f aca="false">TEXT('Monthly P&amp;L'!E$5,"yyyy-mm")</f>
        <v>2027-06</v>
      </c>
      <c r="B46" s="2" t="s">
        <v>226</v>
      </c>
      <c r="C46" s="41" t="n">
        <f aca="false">ROUND('Monthly P&amp;L'!E29,0)</f>
        <v>150</v>
      </c>
      <c r="D46" s="4"/>
      <c r="E46" s="4"/>
    </row>
    <row r="47" customFormat="false" ht="15" hidden="false" customHeight="false" outlineLevel="0" collapsed="false">
      <c r="A47" s="43" t="str">
        <f aca="false">TEXT('Monthly P&amp;L'!E$5,"yyyy-mm")</f>
        <v>2027-06</v>
      </c>
      <c r="B47" s="2" t="s">
        <v>227</v>
      </c>
      <c r="C47" s="41" t="n">
        <f aca="false">ROUND('Monthly P&amp;L'!E30,0)</f>
        <v>248</v>
      </c>
      <c r="D47" s="4"/>
      <c r="E47" s="4"/>
    </row>
    <row r="48" customFormat="false" ht="15" hidden="false" customHeight="false" outlineLevel="0" collapsed="false">
      <c r="A48" s="43" t="str">
        <f aca="false">TEXT('Monthly P&amp;L'!E$5,"yyyy-mm")</f>
        <v>2027-06</v>
      </c>
      <c r="B48" s="2" t="s">
        <v>228</v>
      </c>
      <c r="C48" s="41" t="n">
        <f aca="false">ROUND('Monthly P&amp;L'!E31,0)</f>
        <v>590</v>
      </c>
      <c r="D48" s="4"/>
      <c r="E48" s="4"/>
    </row>
    <row r="49" customFormat="false" ht="15" hidden="false" customHeight="false" outlineLevel="0" collapsed="false">
      <c r="A49" s="43" t="str">
        <f aca="false">TEXT('Monthly P&amp;L'!E$5,"yyyy-mm")</f>
        <v>2027-06</v>
      </c>
      <c r="B49" s="2" t="s">
        <v>229</v>
      </c>
      <c r="C49" s="41" t="n">
        <f aca="false">ROUND('Monthly P&amp;L'!E32,0)</f>
        <v>1500</v>
      </c>
      <c r="D49" s="4"/>
      <c r="E49" s="4"/>
    </row>
    <row r="50" customFormat="false" ht="15" hidden="false" customHeight="false" outlineLevel="0" collapsed="false">
      <c r="A50" s="43" t="str">
        <f aca="false">TEXT('Monthly P&amp;L'!E$5,"yyyy-mm")</f>
        <v>2027-06</v>
      </c>
      <c r="B50" s="2" t="s">
        <v>230</v>
      </c>
      <c r="C50" s="41" t="n">
        <f aca="false">ROUND('Monthly P&amp;L'!E33,0)</f>
        <v>1000</v>
      </c>
      <c r="D50" s="4"/>
      <c r="E50" s="4"/>
    </row>
    <row r="51" customFormat="false" ht="15" hidden="false" customHeight="false" outlineLevel="0" collapsed="false">
      <c r="A51" s="43" t="str">
        <f aca="false">TEXT('Monthly P&amp;L'!E$5,"yyyy-mm")</f>
        <v>2027-06</v>
      </c>
      <c r="B51" s="2" t="s">
        <v>231</v>
      </c>
      <c r="C51" s="41" t="n">
        <f aca="false">ROUND('Monthly P&amp;L'!E34,0)</f>
        <v>0</v>
      </c>
      <c r="D51" s="4"/>
      <c r="E51" s="4"/>
    </row>
    <row r="52" customFormat="false" ht="15" hidden="false" customHeight="false" outlineLevel="0" collapsed="false">
      <c r="A52" s="43" t="str">
        <f aca="false">TEXT('Monthly P&amp;L'!E$5,"yyyy-mm")</f>
        <v>2027-06</v>
      </c>
      <c r="B52" s="2" t="s">
        <v>232</v>
      </c>
      <c r="C52" s="41" t="n">
        <f aca="false">ROUND('Monthly P&amp;L'!E35,0)</f>
        <v>202</v>
      </c>
      <c r="D52" s="4"/>
      <c r="E52" s="4"/>
    </row>
    <row r="53" customFormat="false" ht="15" hidden="false" customHeight="false" outlineLevel="0" collapsed="false">
      <c r="A53" s="43" t="str">
        <f aca="false">TEXT('Monthly P&amp;L'!E$5,"yyyy-mm")</f>
        <v>2027-06</v>
      </c>
      <c r="B53" s="2" t="s">
        <v>233</v>
      </c>
      <c r="C53" s="41" t="n">
        <f aca="false">ROUND('Monthly P&amp;L'!E36,0)</f>
        <v>300</v>
      </c>
      <c r="D53" s="4"/>
      <c r="E53" s="4"/>
    </row>
    <row r="54" customFormat="false" ht="15" hidden="false" customHeight="false" outlineLevel="0" collapsed="false">
      <c r="A54" s="43" t="str">
        <f aca="false">TEXT('Monthly P&amp;L'!E$5,"yyyy-mm")</f>
        <v>2027-06</v>
      </c>
      <c r="B54" s="2" t="s">
        <v>234</v>
      </c>
      <c r="C54" s="41" t="n">
        <f aca="false">ROUND('Monthly P&amp;L'!E40,0)</f>
        <v>560</v>
      </c>
      <c r="D54" s="4"/>
      <c r="E54" s="4"/>
    </row>
    <row r="55" customFormat="false" ht="15" hidden="false" customHeight="false" outlineLevel="0" collapsed="false">
      <c r="A55" s="43" t="str">
        <f aca="false">TEXT('Monthly P&amp;L'!E$5,"yyyy-mm")</f>
        <v>2027-06</v>
      </c>
      <c r="B55" s="2" t="s">
        <v>235</v>
      </c>
      <c r="C55" s="41" t="n">
        <f aca="false">ROUND('Monthly P&amp;L'!E42,0)</f>
        <v>908</v>
      </c>
      <c r="D55" s="4"/>
      <c r="E55" s="4"/>
    </row>
    <row r="56" customFormat="false" ht="15" hidden="false" customHeight="false" outlineLevel="0" collapsed="false">
      <c r="A56" s="43" t="str">
        <f aca="false">TEXT('Monthly P&amp;L'!F$5,"yyyy-mm")</f>
        <v>2027-07</v>
      </c>
      <c r="B56" s="2" t="s">
        <v>218</v>
      </c>
      <c r="C56" s="41" t="n">
        <f aca="false">ROUND('Monthly P&amp;L'!F16,0)</f>
        <v>15725</v>
      </c>
      <c r="D56" s="4"/>
      <c r="E56" s="4"/>
    </row>
    <row r="57" customFormat="false" ht="15" hidden="false" customHeight="false" outlineLevel="0" collapsed="false">
      <c r="A57" s="43" t="str">
        <f aca="false">TEXT('Monthly P&amp;L'!F$5,"yyyy-mm")</f>
        <v>2027-07</v>
      </c>
      <c r="B57" s="2" t="s">
        <v>219</v>
      </c>
      <c r="C57" s="41" t="n">
        <f aca="false">ROUND('Monthly P&amp;L'!F17,0)</f>
        <v>-283</v>
      </c>
      <c r="D57" s="4"/>
      <c r="E57" s="4"/>
    </row>
    <row r="58" customFormat="false" ht="15" hidden="false" customHeight="false" outlineLevel="0" collapsed="false">
      <c r="A58" s="43" t="str">
        <f aca="false">TEXT('Monthly P&amp;L'!F$5,"yyyy-mm")</f>
        <v>2027-07</v>
      </c>
      <c r="B58" s="2" t="s">
        <v>220</v>
      </c>
      <c r="C58" s="41" t="n">
        <f aca="false">ROUND('Monthly P&amp;L'!F18,0)</f>
        <v>4950</v>
      </c>
      <c r="D58" s="4"/>
      <c r="E58" s="4"/>
    </row>
    <row r="59" customFormat="false" ht="15" hidden="false" customHeight="false" outlineLevel="0" collapsed="false">
      <c r="A59" s="43" t="str">
        <f aca="false">TEXT('Monthly P&amp;L'!F$5,"yyyy-mm")</f>
        <v>2027-07</v>
      </c>
      <c r="B59" s="2" t="s">
        <v>221</v>
      </c>
      <c r="C59" s="41" t="n">
        <f aca="false">ROUND('Monthly P&amp;L'!F21,0)</f>
        <v>10693</v>
      </c>
      <c r="D59" s="4"/>
      <c r="E59" s="4"/>
    </row>
    <row r="60" customFormat="false" ht="15" hidden="false" customHeight="false" outlineLevel="0" collapsed="false">
      <c r="A60" s="43" t="str">
        <f aca="false">TEXT('Monthly P&amp;L'!F$5,"yyyy-mm")</f>
        <v>2027-07</v>
      </c>
      <c r="B60" s="2" t="s">
        <v>222</v>
      </c>
      <c r="C60" s="41" t="n">
        <f aca="false">ROUND('Monthly P&amp;L'!F25,0)</f>
        <v>3600</v>
      </c>
      <c r="D60" s="4"/>
      <c r="E60" s="4"/>
    </row>
    <row r="61" customFormat="false" ht="15" hidden="false" customHeight="false" outlineLevel="0" collapsed="false">
      <c r="A61" s="43" t="str">
        <f aca="false">TEXT('Monthly P&amp;L'!F$5,"yyyy-mm")</f>
        <v>2027-07</v>
      </c>
      <c r="B61" s="2" t="s">
        <v>223</v>
      </c>
      <c r="C61" s="41" t="n">
        <f aca="false">ROUND('Monthly P&amp;L'!F26,0)</f>
        <v>900</v>
      </c>
      <c r="D61" s="4"/>
      <c r="E61" s="4"/>
    </row>
    <row r="62" customFormat="false" ht="15" hidden="false" customHeight="false" outlineLevel="0" collapsed="false">
      <c r="A62" s="43" t="str">
        <f aca="false">TEXT('Monthly P&amp;L'!F$5,"yyyy-mm")</f>
        <v>2027-07</v>
      </c>
      <c r="B62" s="2" t="s">
        <v>224</v>
      </c>
      <c r="C62" s="41" t="n">
        <f aca="false">ROUND('Monthly P&amp;L'!F27,0)</f>
        <v>7075</v>
      </c>
      <c r="D62" s="4"/>
      <c r="E62" s="4"/>
    </row>
    <row r="63" customFormat="false" ht="15" hidden="false" customHeight="false" outlineLevel="0" collapsed="false">
      <c r="A63" s="43" t="str">
        <f aca="false">TEXT('Monthly P&amp;L'!F$5,"yyyy-mm")</f>
        <v>2027-07</v>
      </c>
      <c r="B63" s="2" t="s">
        <v>225</v>
      </c>
      <c r="C63" s="41" t="n">
        <f aca="false">ROUND('Monthly P&amp;L'!F28,0)</f>
        <v>650</v>
      </c>
      <c r="D63" s="4"/>
      <c r="E63" s="4"/>
    </row>
    <row r="64" customFormat="false" ht="15" hidden="false" customHeight="false" outlineLevel="0" collapsed="false">
      <c r="A64" s="43" t="str">
        <f aca="false">TEXT('Monthly P&amp;L'!F$5,"yyyy-mm")</f>
        <v>2027-07</v>
      </c>
      <c r="B64" s="2" t="s">
        <v>226</v>
      </c>
      <c r="C64" s="41" t="n">
        <f aca="false">ROUND('Monthly P&amp;L'!F29,0)</f>
        <v>150</v>
      </c>
      <c r="D64" s="4"/>
      <c r="E64" s="4"/>
    </row>
    <row r="65" customFormat="false" ht="15" hidden="false" customHeight="false" outlineLevel="0" collapsed="false">
      <c r="A65" s="43" t="str">
        <f aca="false">TEXT('Monthly P&amp;L'!F$5,"yyyy-mm")</f>
        <v>2027-07</v>
      </c>
      <c r="B65" s="2" t="s">
        <v>227</v>
      </c>
      <c r="C65" s="41" t="n">
        <f aca="false">ROUND('Monthly P&amp;L'!F30,0)</f>
        <v>256</v>
      </c>
      <c r="D65" s="4"/>
      <c r="E65" s="4"/>
    </row>
    <row r="66" customFormat="false" ht="15" hidden="false" customHeight="false" outlineLevel="0" collapsed="false">
      <c r="A66" s="43" t="str">
        <f aca="false">TEXT('Monthly P&amp;L'!F$5,"yyyy-mm")</f>
        <v>2027-07</v>
      </c>
      <c r="B66" s="2" t="s">
        <v>228</v>
      </c>
      <c r="C66" s="41" t="n">
        <f aca="false">ROUND('Monthly P&amp;L'!F31,0)</f>
        <v>662</v>
      </c>
      <c r="D66" s="4"/>
      <c r="E66" s="4"/>
    </row>
    <row r="67" customFormat="false" ht="15" hidden="false" customHeight="false" outlineLevel="0" collapsed="false">
      <c r="A67" s="43" t="str">
        <f aca="false">TEXT('Monthly P&amp;L'!F$5,"yyyy-mm")</f>
        <v>2027-07</v>
      </c>
      <c r="B67" s="2" t="s">
        <v>229</v>
      </c>
      <c r="C67" s="41" t="n">
        <f aca="false">ROUND('Monthly P&amp;L'!F32,0)</f>
        <v>1500</v>
      </c>
      <c r="D67" s="4"/>
      <c r="E67" s="4"/>
    </row>
    <row r="68" customFormat="false" ht="15" hidden="false" customHeight="false" outlineLevel="0" collapsed="false">
      <c r="A68" s="43" t="str">
        <f aca="false">TEXT('Monthly P&amp;L'!F$5,"yyyy-mm")</f>
        <v>2027-07</v>
      </c>
      <c r="B68" s="2" t="s">
        <v>230</v>
      </c>
      <c r="C68" s="41" t="n">
        <f aca="false">ROUND('Monthly P&amp;L'!F33,0)</f>
        <v>1000</v>
      </c>
      <c r="D68" s="4"/>
      <c r="E68" s="4"/>
    </row>
    <row r="69" customFormat="false" ht="15" hidden="false" customHeight="false" outlineLevel="0" collapsed="false">
      <c r="A69" s="43" t="str">
        <f aca="false">TEXT('Monthly P&amp;L'!F$5,"yyyy-mm")</f>
        <v>2027-07</v>
      </c>
      <c r="B69" s="2" t="s">
        <v>231</v>
      </c>
      <c r="C69" s="41" t="n">
        <f aca="false">ROUND('Monthly P&amp;L'!F34,0)</f>
        <v>0</v>
      </c>
      <c r="D69" s="4"/>
      <c r="E69" s="4"/>
    </row>
    <row r="70" customFormat="false" ht="15" hidden="false" customHeight="false" outlineLevel="0" collapsed="false">
      <c r="A70" s="43" t="str">
        <f aca="false">TEXT('Monthly P&amp;L'!F$5,"yyyy-mm")</f>
        <v>2027-07</v>
      </c>
      <c r="B70" s="2" t="s">
        <v>232</v>
      </c>
      <c r="C70" s="41" t="n">
        <f aca="false">ROUND('Monthly P&amp;L'!F35,0)</f>
        <v>236</v>
      </c>
      <c r="D70" s="4"/>
      <c r="E70" s="4"/>
    </row>
    <row r="71" customFormat="false" ht="15" hidden="false" customHeight="false" outlineLevel="0" collapsed="false">
      <c r="A71" s="43" t="str">
        <f aca="false">TEXT('Monthly P&amp;L'!F$5,"yyyy-mm")</f>
        <v>2027-07</v>
      </c>
      <c r="B71" s="2" t="s">
        <v>233</v>
      </c>
      <c r="C71" s="41" t="n">
        <f aca="false">ROUND('Monthly P&amp;L'!F36,0)</f>
        <v>300</v>
      </c>
      <c r="D71" s="4"/>
      <c r="E71" s="4"/>
    </row>
    <row r="72" customFormat="false" ht="15" hidden="false" customHeight="false" outlineLevel="0" collapsed="false">
      <c r="A72" s="43" t="str">
        <f aca="false">TEXT('Monthly P&amp;L'!F$5,"yyyy-mm")</f>
        <v>2027-07</v>
      </c>
      <c r="B72" s="2" t="s">
        <v>234</v>
      </c>
      <c r="C72" s="41" t="n">
        <f aca="false">ROUND('Monthly P&amp;L'!F40,0)</f>
        <v>560</v>
      </c>
      <c r="D72" s="4"/>
      <c r="E72" s="4"/>
    </row>
    <row r="73" customFormat="false" ht="15" hidden="false" customHeight="false" outlineLevel="0" collapsed="false">
      <c r="A73" s="43" t="str">
        <f aca="false">TEXT('Monthly P&amp;L'!F$5,"yyyy-mm")</f>
        <v>2027-07</v>
      </c>
      <c r="B73" s="2" t="s">
        <v>235</v>
      </c>
      <c r="C73" s="41" t="n">
        <f aca="false">ROUND('Monthly P&amp;L'!F42,0)</f>
        <v>904</v>
      </c>
      <c r="D73" s="4"/>
      <c r="E73" s="4"/>
    </row>
    <row r="74" customFormat="false" ht="15" hidden="false" customHeight="false" outlineLevel="0" collapsed="false">
      <c r="A74" s="43" t="str">
        <f aca="false">TEXT('Monthly P&amp;L'!G$5,"yyyy-mm")</f>
        <v>2027-08</v>
      </c>
      <c r="B74" s="2" t="s">
        <v>218</v>
      </c>
      <c r="C74" s="41" t="n">
        <f aca="false">ROUND('Monthly P&amp;L'!G16,0)</f>
        <v>17932</v>
      </c>
      <c r="D74" s="4"/>
      <c r="E74" s="4"/>
    </row>
    <row r="75" customFormat="false" ht="15" hidden="false" customHeight="false" outlineLevel="0" collapsed="false">
      <c r="A75" s="43" t="str">
        <f aca="false">TEXT('Monthly P&amp;L'!G$5,"yyyy-mm")</f>
        <v>2027-08</v>
      </c>
      <c r="B75" s="2" t="s">
        <v>219</v>
      </c>
      <c r="C75" s="41" t="n">
        <f aca="false">ROUND('Monthly P&amp;L'!G17,0)</f>
        <v>-323</v>
      </c>
      <c r="D75" s="4"/>
      <c r="E75" s="4"/>
    </row>
    <row r="76" customFormat="false" ht="15" hidden="false" customHeight="false" outlineLevel="0" collapsed="false">
      <c r="A76" s="43" t="str">
        <f aca="false">TEXT('Monthly P&amp;L'!G$5,"yyyy-mm")</f>
        <v>2027-08</v>
      </c>
      <c r="B76" s="2" t="s">
        <v>220</v>
      </c>
      <c r="C76" s="41" t="n">
        <f aca="false">ROUND('Monthly P&amp;L'!G18,0)</f>
        <v>4950</v>
      </c>
      <c r="D76" s="4"/>
      <c r="E76" s="4"/>
    </row>
    <row r="77" customFormat="false" ht="15" hidden="false" customHeight="false" outlineLevel="0" collapsed="false">
      <c r="A77" s="43" t="str">
        <f aca="false">TEXT('Monthly P&amp;L'!G$5,"yyyy-mm")</f>
        <v>2027-08</v>
      </c>
      <c r="B77" s="2" t="s">
        <v>221</v>
      </c>
      <c r="C77" s="41" t="n">
        <f aca="false">ROUND('Monthly P&amp;L'!G21,0)</f>
        <v>12194</v>
      </c>
      <c r="D77" s="4"/>
      <c r="E77" s="4"/>
    </row>
    <row r="78" customFormat="false" ht="15" hidden="false" customHeight="false" outlineLevel="0" collapsed="false">
      <c r="A78" s="43" t="str">
        <f aca="false">TEXT('Monthly P&amp;L'!G$5,"yyyy-mm")</f>
        <v>2027-08</v>
      </c>
      <c r="B78" s="2" t="s">
        <v>222</v>
      </c>
      <c r="C78" s="41" t="n">
        <f aca="false">ROUND('Monthly P&amp;L'!G25,0)</f>
        <v>3600</v>
      </c>
      <c r="D78" s="4"/>
      <c r="E78" s="4"/>
    </row>
    <row r="79" customFormat="false" ht="15" hidden="false" customHeight="false" outlineLevel="0" collapsed="false">
      <c r="A79" s="43" t="str">
        <f aca="false">TEXT('Monthly P&amp;L'!G$5,"yyyy-mm")</f>
        <v>2027-08</v>
      </c>
      <c r="B79" s="2" t="s">
        <v>223</v>
      </c>
      <c r="C79" s="41" t="n">
        <f aca="false">ROUND('Monthly P&amp;L'!G26,0)</f>
        <v>900</v>
      </c>
      <c r="D79" s="4"/>
      <c r="E79" s="4"/>
    </row>
    <row r="80" customFormat="false" ht="15" hidden="false" customHeight="false" outlineLevel="0" collapsed="false">
      <c r="A80" s="43" t="str">
        <f aca="false">TEXT('Monthly P&amp;L'!G$5,"yyyy-mm")</f>
        <v>2027-08</v>
      </c>
      <c r="B80" s="2" t="s">
        <v>224</v>
      </c>
      <c r="C80" s="41" t="n">
        <f aca="false">ROUND('Monthly P&amp;L'!G27,0)</f>
        <v>7075</v>
      </c>
      <c r="D80" s="4"/>
      <c r="E80" s="4"/>
    </row>
    <row r="81" customFormat="false" ht="15" hidden="false" customHeight="false" outlineLevel="0" collapsed="false">
      <c r="A81" s="43" t="str">
        <f aca="false">TEXT('Monthly P&amp;L'!G$5,"yyyy-mm")</f>
        <v>2027-08</v>
      </c>
      <c r="B81" s="2" t="s">
        <v>225</v>
      </c>
      <c r="C81" s="41" t="n">
        <f aca="false">ROUND('Monthly P&amp;L'!G28,0)</f>
        <v>650</v>
      </c>
      <c r="D81" s="4"/>
      <c r="E81" s="4"/>
    </row>
    <row r="82" customFormat="false" ht="15" hidden="false" customHeight="false" outlineLevel="0" collapsed="false">
      <c r="A82" s="43" t="str">
        <f aca="false">TEXT('Monthly P&amp;L'!G$5,"yyyy-mm")</f>
        <v>2027-08</v>
      </c>
      <c r="B82" s="2" t="s">
        <v>226</v>
      </c>
      <c r="C82" s="41" t="n">
        <f aca="false">ROUND('Monthly P&amp;L'!G29,0)</f>
        <v>150</v>
      </c>
      <c r="D82" s="4"/>
      <c r="E82" s="4"/>
    </row>
    <row r="83" customFormat="false" ht="15" hidden="false" customHeight="false" outlineLevel="0" collapsed="false">
      <c r="A83" s="43" t="str">
        <f aca="false">TEXT('Monthly P&amp;L'!G$5,"yyyy-mm")</f>
        <v>2027-08</v>
      </c>
      <c r="B83" s="2" t="s">
        <v>227</v>
      </c>
      <c r="C83" s="41" t="n">
        <f aca="false">ROUND('Monthly P&amp;L'!G30,0)</f>
        <v>264</v>
      </c>
      <c r="D83" s="4"/>
      <c r="E83" s="4"/>
    </row>
    <row r="84" customFormat="false" ht="15" hidden="false" customHeight="false" outlineLevel="0" collapsed="false">
      <c r="A84" s="43" t="str">
        <f aca="false">TEXT('Monthly P&amp;L'!G$5,"yyyy-mm")</f>
        <v>2027-08</v>
      </c>
      <c r="B84" s="2" t="s">
        <v>228</v>
      </c>
      <c r="C84" s="41" t="n">
        <f aca="false">ROUND('Monthly P&amp;L'!G31,0)</f>
        <v>732</v>
      </c>
      <c r="D84" s="4"/>
      <c r="E84" s="4"/>
    </row>
    <row r="85" customFormat="false" ht="15" hidden="false" customHeight="false" outlineLevel="0" collapsed="false">
      <c r="A85" s="43" t="str">
        <f aca="false">TEXT('Monthly P&amp;L'!G$5,"yyyy-mm")</f>
        <v>2027-08</v>
      </c>
      <c r="B85" s="2" t="s">
        <v>229</v>
      </c>
      <c r="C85" s="41" t="n">
        <f aca="false">ROUND('Monthly P&amp;L'!G32,0)</f>
        <v>1500</v>
      </c>
      <c r="D85" s="4"/>
      <c r="E85" s="4"/>
    </row>
    <row r="86" customFormat="false" ht="15" hidden="false" customHeight="false" outlineLevel="0" collapsed="false">
      <c r="A86" s="43" t="str">
        <f aca="false">TEXT('Monthly P&amp;L'!G$5,"yyyy-mm")</f>
        <v>2027-08</v>
      </c>
      <c r="B86" s="2" t="s">
        <v>230</v>
      </c>
      <c r="C86" s="41" t="n">
        <f aca="false">ROUND('Monthly P&amp;L'!G33,0)</f>
        <v>1000</v>
      </c>
      <c r="D86" s="4"/>
      <c r="E86" s="4"/>
    </row>
    <row r="87" customFormat="false" ht="15" hidden="false" customHeight="false" outlineLevel="0" collapsed="false">
      <c r="A87" s="43" t="str">
        <f aca="false">TEXT('Monthly P&amp;L'!G$5,"yyyy-mm")</f>
        <v>2027-08</v>
      </c>
      <c r="B87" s="2" t="s">
        <v>231</v>
      </c>
      <c r="C87" s="41" t="n">
        <f aca="false">ROUND('Monthly P&amp;L'!G34,0)</f>
        <v>0</v>
      </c>
      <c r="D87" s="4"/>
      <c r="E87" s="4"/>
    </row>
    <row r="88" customFormat="false" ht="15" hidden="false" customHeight="false" outlineLevel="0" collapsed="false">
      <c r="A88" s="43" t="str">
        <f aca="false">TEXT('Monthly P&amp;L'!G$5,"yyyy-mm")</f>
        <v>2027-08</v>
      </c>
      <c r="B88" s="2" t="s">
        <v>232</v>
      </c>
      <c r="C88" s="41" t="n">
        <f aca="false">ROUND('Monthly P&amp;L'!G35,0)</f>
        <v>269</v>
      </c>
      <c r="D88" s="4"/>
      <c r="E88" s="4"/>
    </row>
    <row r="89" customFormat="false" ht="15" hidden="false" customHeight="false" outlineLevel="0" collapsed="false">
      <c r="A89" s="43" t="str">
        <f aca="false">TEXT('Monthly P&amp;L'!G$5,"yyyy-mm")</f>
        <v>2027-08</v>
      </c>
      <c r="B89" s="2" t="s">
        <v>233</v>
      </c>
      <c r="C89" s="41" t="n">
        <f aca="false">ROUND('Monthly P&amp;L'!G36,0)</f>
        <v>300</v>
      </c>
      <c r="D89" s="4"/>
      <c r="E89" s="4"/>
    </row>
    <row r="90" customFormat="false" ht="15" hidden="false" customHeight="false" outlineLevel="0" collapsed="false">
      <c r="A90" s="43" t="str">
        <f aca="false">TEXT('Monthly P&amp;L'!G$5,"yyyy-mm")</f>
        <v>2027-08</v>
      </c>
      <c r="B90" s="2" t="s">
        <v>234</v>
      </c>
      <c r="C90" s="41" t="n">
        <f aca="false">ROUND('Monthly P&amp;L'!G40,0)</f>
        <v>560</v>
      </c>
      <c r="D90" s="4"/>
      <c r="E90" s="4"/>
    </row>
    <row r="91" customFormat="false" ht="15" hidden="false" customHeight="false" outlineLevel="0" collapsed="false">
      <c r="A91" s="43" t="str">
        <f aca="false">TEXT('Monthly P&amp;L'!G$5,"yyyy-mm")</f>
        <v>2027-08</v>
      </c>
      <c r="B91" s="2" t="s">
        <v>235</v>
      </c>
      <c r="C91" s="41" t="n">
        <f aca="false">ROUND('Monthly P&amp;L'!G42,0)</f>
        <v>900</v>
      </c>
      <c r="D91" s="4"/>
      <c r="E91" s="4"/>
    </row>
    <row r="92" customFormat="false" ht="15" hidden="false" customHeight="false" outlineLevel="0" collapsed="false">
      <c r="A92" s="43" t="str">
        <f aca="false">TEXT('Monthly P&amp;L'!H$5,"yyyy-mm")</f>
        <v>2027-09</v>
      </c>
      <c r="B92" s="2" t="s">
        <v>218</v>
      </c>
      <c r="C92" s="41" t="n">
        <f aca="false">ROUND('Monthly P&amp;L'!H16,0)</f>
        <v>20102</v>
      </c>
      <c r="D92" s="4"/>
      <c r="E92" s="4"/>
    </row>
    <row r="93" customFormat="false" ht="15" hidden="false" customHeight="false" outlineLevel="0" collapsed="false">
      <c r="A93" s="43" t="str">
        <f aca="false">TEXT('Monthly P&amp;L'!H$5,"yyyy-mm")</f>
        <v>2027-09</v>
      </c>
      <c r="B93" s="2" t="s">
        <v>219</v>
      </c>
      <c r="C93" s="41" t="n">
        <f aca="false">ROUND('Monthly P&amp;L'!H17,0)</f>
        <v>-362</v>
      </c>
      <c r="D93" s="4"/>
      <c r="E93" s="4"/>
    </row>
    <row r="94" customFormat="false" ht="15" hidden="false" customHeight="false" outlineLevel="0" collapsed="false">
      <c r="A94" s="43" t="str">
        <f aca="false">TEXT('Monthly P&amp;L'!H$5,"yyyy-mm")</f>
        <v>2027-09</v>
      </c>
      <c r="B94" s="2" t="s">
        <v>220</v>
      </c>
      <c r="C94" s="41" t="n">
        <f aca="false">ROUND('Monthly P&amp;L'!H18,0)</f>
        <v>4950</v>
      </c>
      <c r="D94" s="4"/>
      <c r="E94" s="4"/>
    </row>
    <row r="95" customFormat="false" ht="15" hidden="false" customHeight="false" outlineLevel="0" collapsed="false">
      <c r="A95" s="43" t="str">
        <f aca="false">TEXT('Monthly P&amp;L'!H$5,"yyyy-mm")</f>
        <v>2027-09</v>
      </c>
      <c r="B95" s="2" t="s">
        <v>221</v>
      </c>
      <c r="C95" s="41" t="n">
        <f aca="false">ROUND('Monthly P&amp;L'!H21,0)</f>
        <v>13669</v>
      </c>
      <c r="D95" s="4"/>
      <c r="E95" s="4"/>
    </row>
    <row r="96" customFormat="false" ht="15" hidden="false" customHeight="false" outlineLevel="0" collapsed="false">
      <c r="A96" s="43" t="str">
        <f aca="false">TEXT('Monthly P&amp;L'!H$5,"yyyy-mm")</f>
        <v>2027-09</v>
      </c>
      <c r="B96" s="2" t="s">
        <v>222</v>
      </c>
      <c r="C96" s="41" t="n">
        <f aca="false">ROUND('Monthly P&amp;L'!H25,0)</f>
        <v>3600</v>
      </c>
      <c r="D96" s="4"/>
      <c r="E96" s="4"/>
    </row>
    <row r="97" customFormat="false" ht="15" hidden="false" customHeight="false" outlineLevel="0" collapsed="false">
      <c r="A97" s="43" t="str">
        <f aca="false">TEXT('Monthly P&amp;L'!H$5,"yyyy-mm")</f>
        <v>2027-09</v>
      </c>
      <c r="B97" s="2" t="s">
        <v>223</v>
      </c>
      <c r="C97" s="41" t="n">
        <f aca="false">ROUND('Monthly P&amp;L'!H26,0)</f>
        <v>900</v>
      </c>
      <c r="D97" s="4"/>
      <c r="E97" s="4"/>
    </row>
    <row r="98" customFormat="false" ht="15" hidden="false" customHeight="false" outlineLevel="0" collapsed="false">
      <c r="A98" s="43" t="str">
        <f aca="false">TEXT('Monthly P&amp;L'!H$5,"yyyy-mm")</f>
        <v>2027-09</v>
      </c>
      <c r="B98" s="2" t="s">
        <v>224</v>
      </c>
      <c r="C98" s="41" t="n">
        <f aca="false">ROUND('Monthly P&amp;L'!H27,0)</f>
        <v>7075</v>
      </c>
      <c r="D98" s="4"/>
      <c r="E98" s="4"/>
    </row>
    <row r="99" customFormat="false" ht="15" hidden="false" customHeight="false" outlineLevel="0" collapsed="false">
      <c r="A99" s="43" t="str">
        <f aca="false">TEXT('Monthly P&amp;L'!H$5,"yyyy-mm")</f>
        <v>2027-09</v>
      </c>
      <c r="B99" s="2" t="s">
        <v>225</v>
      </c>
      <c r="C99" s="41" t="n">
        <f aca="false">ROUND('Monthly P&amp;L'!H28,0)</f>
        <v>650</v>
      </c>
      <c r="D99" s="4"/>
      <c r="E99" s="4"/>
    </row>
    <row r="100" customFormat="false" ht="15" hidden="false" customHeight="false" outlineLevel="0" collapsed="false">
      <c r="A100" s="43" t="str">
        <f aca="false">TEXT('Monthly P&amp;L'!H$5,"yyyy-mm")</f>
        <v>2027-09</v>
      </c>
      <c r="B100" s="2" t="s">
        <v>226</v>
      </c>
      <c r="C100" s="41" t="n">
        <f aca="false">ROUND('Monthly P&amp;L'!H29,0)</f>
        <v>150</v>
      </c>
      <c r="D100" s="4"/>
      <c r="E100" s="4"/>
    </row>
    <row r="101" customFormat="false" ht="15" hidden="false" customHeight="false" outlineLevel="0" collapsed="false">
      <c r="A101" s="43" t="str">
        <f aca="false">TEXT('Monthly P&amp;L'!H$5,"yyyy-mm")</f>
        <v>2027-09</v>
      </c>
      <c r="B101" s="2" t="s">
        <v>227</v>
      </c>
      <c r="C101" s="41" t="n">
        <f aca="false">ROUND('Monthly P&amp;L'!H30,0)</f>
        <v>271</v>
      </c>
      <c r="D101" s="4"/>
      <c r="E101" s="4"/>
    </row>
    <row r="102" customFormat="false" ht="15" hidden="false" customHeight="false" outlineLevel="0" collapsed="false">
      <c r="A102" s="43" t="str">
        <f aca="false">TEXT('Monthly P&amp;L'!H$5,"yyyy-mm")</f>
        <v>2027-09</v>
      </c>
      <c r="B102" s="2" t="s">
        <v>228</v>
      </c>
      <c r="C102" s="41" t="n">
        <f aca="false">ROUND('Monthly P&amp;L'!H31,0)</f>
        <v>802</v>
      </c>
      <c r="D102" s="4"/>
      <c r="E102" s="4"/>
    </row>
    <row r="103" customFormat="false" ht="15" hidden="false" customHeight="false" outlineLevel="0" collapsed="false">
      <c r="A103" s="43" t="str">
        <f aca="false">TEXT('Monthly P&amp;L'!H$5,"yyyy-mm")</f>
        <v>2027-09</v>
      </c>
      <c r="B103" s="2" t="s">
        <v>229</v>
      </c>
      <c r="C103" s="41" t="n">
        <f aca="false">ROUND('Monthly P&amp;L'!H32,0)</f>
        <v>1500</v>
      </c>
      <c r="D103" s="4"/>
      <c r="E103" s="4"/>
    </row>
    <row r="104" customFormat="false" ht="15" hidden="false" customHeight="false" outlineLevel="0" collapsed="false">
      <c r="A104" s="43" t="str">
        <f aca="false">TEXT('Monthly P&amp;L'!H$5,"yyyy-mm")</f>
        <v>2027-09</v>
      </c>
      <c r="B104" s="2" t="s">
        <v>230</v>
      </c>
      <c r="C104" s="41" t="n">
        <f aca="false">ROUND('Monthly P&amp;L'!H33,0)</f>
        <v>1000</v>
      </c>
      <c r="D104" s="4"/>
      <c r="E104" s="4"/>
    </row>
    <row r="105" customFormat="false" ht="15" hidden="false" customHeight="false" outlineLevel="0" collapsed="false">
      <c r="A105" s="43" t="str">
        <f aca="false">TEXT('Monthly P&amp;L'!H$5,"yyyy-mm")</f>
        <v>2027-09</v>
      </c>
      <c r="B105" s="2" t="s">
        <v>231</v>
      </c>
      <c r="C105" s="41" t="n">
        <f aca="false">ROUND('Monthly P&amp;L'!H34,0)</f>
        <v>0</v>
      </c>
      <c r="D105" s="4"/>
      <c r="E105" s="4"/>
    </row>
    <row r="106" customFormat="false" ht="15" hidden="false" customHeight="false" outlineLevel="0" collapsed="false">
      <c r="A106" s="43" t="str">
        <f aca="false">TEXT('Monthly P&amp;L'!H$5,"yyyy-mm")</f>
        <v>2027-09</v>
      </c>
      <c r="B106" s="2" t="s">
        <v>232</v>
      </c>
      <c r="C106" s="41" t="n">
        <f aca="false">ROUND('Monthly P&amp;L'!H35,0)</f>
        <v>302</v>
      </c>
      <c r="D106" s="4"/>
      <c r="E106" s="4"/>
    </row>
    <row r="107" customFormat="false" ht="15" hidden="false" customHeight="false" outlineLevel="0" collapsed="false">
      <c r="A107" s="43" t="str">
        <f aca="false">TEXT('Monthly P&amp;L'!H$5,"yyyy-mm")</f>
        <v>2027-09</v>
      </c>
      <c r="B107" s="2" t="s">
        <v>233</v>
      </c>
      <c r="C107" s="41" t="n">
        <f aca="false">ROUND('Monthly P&amp;L'!H36,0)</f>
        <v>300</v>
      </c>
      <c r="D107" s="4"/>
      <c r="E107" s="4"/>
    </row>
    <row r="108" customFormat="false" ht="15" hidden="false" customHeight="false" outlineLevel="0" collapsed="false">
      <c r="A108" s="43" t="str">
        <f aca="false">TEXT('Monthly P&amp;L'!H$5,"yyyy-mm")</f>
        <v>2027-09</v>
      </c>
      <c r="B108" s="2" t="s">
        <v>234</v>
      </c>
      <c r="C108" s="41" t="n">
        <f aca="false">ROUND('Monthly P&amp;L'!H40,0)</f>
        <v>560</v>
      </c>
      <c r="D108" s="4"/>
      <c r="E108" s="4"/>
    </row>
    <row r="109" customFormat="false" ht="15" hidden="false" customHeight="false" outlineLevel="0" collapsed="false">
      <c r="A109" s="43" t="str">
        <f aca="false">TEXT('Monthly P&amp;L'!H$5,"yyyy-mm")</f>
        <v>2027-09</v>
      </c>
      <c r="B109" s="2" t="s">
        <v>235</v>
      </c>
      <c r="C109" s="41" t="n">
        <f aca="false">ROUND('Monthly P&amp;L'!H42,0)</f>
        <v>895</v>
      </c>
      <c r="D109" s="4"/>
      <c r="E109" s="4"/>
    </row>
    <row r="110" customFormat="false" ht="15" hidden="false" customHeight="false" outlineLevel="0" collapsed="false">
      <c r="A110" s="43" t="str">
        <f aca="false">TEXT('Monthly P&amp;L'!I$5,"yyyy-mm")</f>
        <v>2027-10</v>
      </c>
      <c r="B110" s="2" t="s">
        <v>218</v>
      </c>
      <c r="C110" s="41" t="n">
        <f aca="false">ROUND('Monthly P&amp;L'!I16,0)</f>
        <v>21897</v>
      </c>
      <c r="D110" s="4"/>
      <c r="E110" s="4"/>
    </row>
    <row r="111" customFormat="false" ht="15" hidden="false" customHeight="false" outlineLevel="0" collapsed="false">
      <c r="A111" s="43" t="str">
        <f aca="false">TEXT('Monthly P&amp;L'!I$5,"yyyy-mm")</f>
        <v>2027-10</v>
      </c>
      <c r="B111" s="2" t="s">
        <v>219</v>
      </c>
      <c r="C111" s="41" t="n">
        <f aca="false">ROUND('Monthly P&amp;L'!I17,0)</f>
        <v>-394</v>
      </c>
      <c r="D111" s="4"/>
      <c r="E111" s="4"/>
    </row>
    <row r="112" customFormat="false" ht="15" hidden="false" customHeight="false" outlineLevel="0" collapsed="false">
      <c r="A112" s="43" t="str">
        <f aca="false">TEXT('Monthly P&amp;L'!I$5,"yyyy-mm")</f>
        <v>2027-10</v>
      </c>
      <c r="B112" s="2" t="s">
        <v>220</v>
      </c>
      <c r="C112" s="41" t="n">
        <f aca="false">ROUND('Monthly P&amp;L'!I18,0)</f>
        <v>3750</v>
      </c>
      <c r="D112" s="4"/>
      <c r="E112" s="4"/>
    </row>
    <row r="113" customFormat="false" ht="15" hidden="false" customHeight="false" outlineLevel="0" collapsed="false">
      <c r="A113" s="43" t="str">
        <f aca="false">TEXT('Monthly P&amp;L'!I$5,"yyyy-mm")</f>
        <v>2027-10</v>
      </c>
      <c r="B113" s="2" t="s">
        <v>221</v>
      </c>
      <c r="C113" s="41" t="n">
        <f aca="false">ROUND('Monthly P&amp;L'!I21,0)</f>
        <v>14890</v>
      </c>
      <c r="D113" s="4"/>
      <c r="E113" s="4"/>
    </row>
    <row r="114" customFormat="false" ht="15" hidden="false" customHeight="false" outlineLevel="0" collapsed="false">
      <c r="A114" s="43" t="str">
        <f aca="false">TEXT('Monthly P&amp;L'!I$5,"yyyy-mm")</f>
        <v>2027-10</v>
      </c>
      <c r="B114" s="2" t="s">
        <v>222</v>
      </c>
      <c r="C114" s="41" t="n">
        <f aca="false">ROUND('Monthly P&amp;L'!I25,0)</f>
        <v>3600</v>
      </c>
      <c r="D114" s="4"/>
      <c r="E114" s="4"/>
    </row>
    <row r="115" customFormat="false" ht="15" hidden="false" customHeight="false" outlineLevel="0" collapsed="false">
      <c r="A115" s="43" t="str">
        <f aca="false">TEXT('Monthly P&amp;L'!I$5,"yyyy-mm")</f>
        <v>2027-10</v>
      </c>
      <c r="B115" s="2" t="s">
        <v>223</v>
      </c>
      <c r="C115" s="41" t="n">
        <f aca="false">ROUND('Monthly P&amp;L'!I26,0)</f>
        <v>900</v>
      </c>
      <c r="D115" s="4"/>
      <c r="E115" s="4"/>
    </row>
    <row r="116" customFormat="false" ht="15" hidden="false" customHeight="false" outlineLevel="0" collapsed="false">
      <c r="A116" s="43" t="str">
        <f aca="false">TEXT('Monthly P&amp;L'!I$5,"yyyy-mm")</f>
        <v>2027-10</v>
      </c>
      <c r="B116" s="2" t="s">
        <v>224</v>
      </c>
      <c r="C116" s="41" t="n">
        <f aca="false">ROUND('Monthly P&amp;L'!I27,0)</f>
        <v>7075</v>
      </c>
      <c r="D116" s="4"/>
      <c r="E116" s="4"/>
    </row>
    <row r="117" customFormat="false" ht="15" hidden="false" customHeight="false" outlineLevel="0" collapsed="false">
      <c r="A117" s="43" t="str">
        <f aca="false">TEXT('Monthly P&amp;L'!I$5,"yyyy-mm")</f>
        <v>2027-10</v>
      </c>
      <c r="B117" s="2" t="s">
        <v>225</v>
      </c>
      <c r="C117" s="41" t="n">
        <f aca="false">ROUND('Monthly P&amp;L'!I28,0)</f>
        <v>650</v>
      </c>
      <c r="D117" s="4"/>
      <c r="E117" s="4"/>
    </row>
    <row r="118" customFormat="false" ht="15" hidden="false" customHeight="false" outlineLevel="0" collapsed="false">
      <c r="A118" s="43" t="str">
        <f aca="false">TEXT('Monthly P&amp;L'!I$5,"yyyy-mm")</f>
        <v>2027-10</v>
      </c>
      <c r="B118" s="2" t="s">
        <v>226</v>
      </c>
      <c r="C118" s="41" t="n">
        <f aca="false">ROUND('Monthly P&amp;L'!I29,0)</f>
        <v>150</v>
      </c>
      <c r="D118" s="4"/>
      <c r="E118" s="4"/>
    </row>
    <row r="119" customFormat="false" ht="15" hidden="false" customHeight="false" outlineLevel="0" collapsed="false">
      <c r="A119" s="43" t="str">
        <f aca="false">TEXT('Monthly P&amp;L'!I$5,"yyyy-mm")</f>
        <v>2027-10</v>
      </c>
      <c r="B119" s="2" t="s">
        <v>227</v>
      </c>
      <c r="C119" s="41" t="n">
        <f aca="false">ROUND('Monthly P&amp;L'!I30,0)</f>
        <v>278</v>
      </c>
      <c r="D119" s="4"/>
      <c r="E119" s="4"/>
    </row>
    <row r="120" customFormat="false" ht="15" hidden="false" customHeight="false" outlineLevel="0" collapsed="false">
      <c r="A120" s="43" t="str">
        <f aca="false">TEXT('Monthly P&amp;L'!I$5,"yyyy-mm")</f>
        <v>2027-10</v>
      </c>
      <c r="B120" s="2" t="s">
        <v>228</v>
      </c>
      <c r="C120" s="41" t="n">
        <f aca="false">ROUND('Monthly P&amp;L'!I31,0)</f>
        <v>821</v>
      </c>
      <c r="D120" s="4"/>
      <c r="E120" s="4"/>
    </row>
    <row r="121" customFormat="false" ht="15" hidden="false" customHeight="false" outlineLevel="0" collapsed="false">
      <c r="A121" s="43" t="str">
        <f aca="false">TEXT('Monthly P&amp;L'!I$5,"yyyy-mm")</f>
        <v>2027-10</v>
      </c>
      <c r="B121" s="2" t="s">
        <v>229</v>
      </c>
      <c r="C121" s="41" t="n">
        <f aca="false">ROUND('Monthly P&amp;L'!I32,0)</f>
        <v>1500</v>
      </c>
      <c r="D121" s="4"/>
      <c r="E121" s="4"/>
    </row>
    <row r="122" customFormat="false" ht="15" hidden="false" customHeight="false" outlineLevel="0" collapsed="false">
      <c r="A122" s="43" t="str">
        <f aca="false">TEXT('Monthly P&amp;L'!I$5,"yyyy-mm")</f>
        <v>2027-10</v>
      </c>
      <c r="B122" s="2" t="s">
        <v>230</v>
      </c>
      <c r="C122" s="41" t="n">
        <f aca="false">ROUND('Monthly P&amp;L'!I33,0)</f>
        <v>1000</v>
      </c>
      <c r="D122" s="4"/>
      <c r="E122" s="4"/>
    </row>
    <row r="123" customFormat="false" ht="15" hidden="false" customHeight="false" outlineLevel="0" collapsed="false">
      <c r="A123" s="43" t="str">
        <f aca="false">TEXT('Monthly P&amp;L'!I$5,"yyyy-mm")</f>
        <v>2027-10</v>
      </c>
      <c r="B123" s="2" t="s">
        <v>231</v>
      </c>
      <c r="C123" s="41" t="n">
        <f aca="false">ROUND('Monthly P&amp;L'!I34,0)</f>
        <v>328</v>
      </c>
      <c r="D123" s="4"/>
      <c r="E123" s="4"/>
    </row>
    <row r="124" customFormat="false" ht="15" hidden="false" customHeight="false" outlineLevel="0" collapsed="false">
      <c r="A124" s="43" t="str">
        <f aca="false">TEXT('Monthly P&amp;L'!I$5,"yyyy-mm")</f>
        <v>2027-10</v>
      </c>
      <c r="B124" s="2" t="s">
        <v>232</v>
      </c>
      <c r="C124" s="41" t="n">
        <f aca="false">ROUND('Monthly P&amp;L'!I35,0)</f>
        <v>328</v>
      </c>
      <c r="D124" s="4"/>
      <c r="E124" s="4"/>
    </row>
    <row r="125" customFormat="false" ht="15" hidden="false" customHeight="false" outlineLevel="0" collapsed="false">
      <c r="A125" s="43" t="str">
        <f aca="false">TEXT('Monthly P&amp;L'!I$5,"yyyy-mm")</f>
        <v>2027-10</v>
      </c>
      <c r="B125" s="2" t="s">
        <v>233</v>
      </c>
      <c r="C125" s="41" t="n">
        <f aca="false">ROUND('Monthly P&amp;L'!I36,0)</f>
        <v>300</v>
      </c>
      <c r="D125" s="4"/>
      <c r="E125" s="4"/>
    </row>
    <row r="126" customFormat="false" ht="15" hidden="false" customHeight="false" outlineLevel="0" collapsed="false">
      <c r="A126" s="43" t="str">
        <f aca="false">TEXT('Monthly P&amp;L'!I$5,"yyyy-mm")</f>
        <v>2027-10</v>
      </c>
      <c r="B126" s="2" t="s">
        <v>234</v>
      </c>
      <c r="C126" s="41" t="n">
        <f aca="false">ROUND('Monthly P&amp;L'!I40,0)</f>
        <v>560</v>
      </c>
      <c r="D126" s="4"/>
      <c r="E126" s="4"/>
    </row>
    <row r="127" customFormat="false" ht="15" hidden="false" customHeight="false" outlineLevel="0" collapsed="false">
      <c r="A127" s="43" t="str">
        <f aca="false">TEXT('Monthly P&amp;L'!I$5,"yyyy-mm")</f>
        <v>2027-10</v>
      </c>
      <c r="B127" s="2" t="s">
        <v>235</v>
      </c>
      <c r="C127" s="41" t="n">
        <f aca="false">ROUND('Monthly P&amp;L'!I42,0)</f>
        <v>891</v>
      </c>
      <c r="D127" s="4"/>
      <c r="E127" s="4"/>
    </row>
    <row r="128" customFormat="false" ht="15" hidden="false" customHeight="false" outlineLevel="0" collapsed="false">
      <c r="A128" s="43" t="str">
        <f aca="false">TEXT('Monthly P&amp;L'!J$5,"yyyy-mm")</f>
        <v>2027-11</v>
      </c>
      <c r="B128" s="2" t="s">
        <v>218</v>
      </c>
      <c r="C128" s="41" t="n">
        <f aca="false">ROUND('Monthly P&amp;L'!J16,0)</f>
        <v>23656</v>
      </c>
      <c r="D128" s="4"/>
      <c r="E128" s="4"/>
    </row>
    <row r="129" customFormat="false" ht="15" hidden="false" customHeight="false" outlineLevel="0" collapsed="false">
      <c r="A129" s="43" t="str">
        <f aca="false">TEXT('Monthly P&amp;L'!J$5,"yyyy-mm")</f>
        <v>2027-11</v>
      </c>
      <c r="B129" s="2" t="s">
        <v>219</v>
      </c>
      <c r="C129" s="41" t="n">
        <f aca="false">ROUND('Monthly P&amp;L'!J17,0)</f>
        <v>-426</v>
      </c>
      <c r="D129" s="4"/>
      <c r="E129" s="4"/>
    </row>
    <row r="130" customFormat="false" ht="15" hidden="false" customHeight="false" outlineLevel="0" collapsed="false">
      <c r="A130" s="43" t="str">
        <f aca="false">TEXT('Monthly P&amp;L'!J$5,"yyyy-mm")</f>
        <v>2027-11</v>
      </c>
      <c r="B130" s="2" t="s">
        <v>220</v>
      </c>
      <c r="C130" s="41" t="n">
        <f aca="false">ROUND('Monthly P&amp;L'!J18,0)</f>
        <v>3750</v>
      </c>
      <c r="D130" s="4"/>
      <c r="E130" s="4"/>
    </row>
    <row r="131" customFormat="false" ht="15" hidden="false" customHeight="false" outlineLevel="0" collapsed="false">
      <c r="A131" s="43" t="str">
        <f aca="false">TEXT('Monthly P&amp;L'!J$5,"yyyy-mm")</f>
        <v>2027-11</v>
      </c>
      <c r="B131" s="2" t="s">
        <v>221</v>
      </c>
      <c r="C131" s="41" t="n">
        <f aca="false">ROUND('Monthly P&amp;L'!J21,0)</f>
        <v>16086</v>
      </c>
      <c r="D131" s="4"/>
      <c r="E131" s="4"/>
    </row>
    <row r="132" customFormat="false" ht="15" hidden="false" customHeight="false" outlineLevel="0" collapsed="false">
      <c r="A132" s="43" t="str">
        <f aca="false">TEXT('Monthly P&amp;L'!J$5,"yyyy-mm")</f>
        <v>2027-11</v>
      </c>
      <c r="B132" s="2" t="s">
        <v>222</v>
      </c>
      <c r="C132" s="41" t="n">
        <f aca="false">ROUND('Monthly P&amp;L'!J25,0)</f>
        <v>3600</v>
      </c>
      <c r="D132" s="4"/>
      <c r="E132" s="4"/>
    </row>
    <row r="133" customFormat="false" ht="15" hidden="false" customHeight="false" outlineLevel="0" collapsed="false">
      <c r="A133" s="43" t="str">
        <f aca="false">TEXT('Monthly P&amp;L'!J$5,"yyyy-mm")</f>
        <v>2027-11</v>
      </c>
      <c r="B133" s="2" t="s">
        <v>223</v>
      </c>
      <c r="C133" s="41" t="n">
        <f aca="false">ROUND('Monthly P&amp;L'!J26,0)</f>
        <v>900</v>
      </c>
      <c r="D133" s="4"/>
      <c r="E133" s="4"/>
    </row>
    <row r="134" customFormat="false" ht="15" hidden="false" customHeight="false" outlineLevel="0" collapsed="false">
      <c r="A134" s="43" t="str">
        <f aca="false">TEXT('Monthly P&amp;L'!J$5,"yyyy-mm")</f>
        <v>2027-11</v>
      </c>
      <c r="B134" s="2" t="s">
        <v>224</v>
      </c>
      <c r="C134" s="41" t="n">
        <f aca="false">ROUND('Monthly P&amp;L'!J27,0)</f>
        <v>7075</v>
      </c>
      <c r="D134" s="4"/>
      <c r="E134" s="4"/>
    </row>
    <row r="135" customFormat="false" ht="15" hidden="false" customHeight="false" outlineLevel="0" collapsed="false">
      <c r="A135" s="43" t="str">
        <f aca="false">TEXT('Monthly P&amp;L'!J$5,"yyyy-mm")</f>
        <v>2027-11</v>
      </c>
      <c r="B135" s="2" t="s">
        <v>225</v>
      </c>
      <c r="C135" s="41" t="n">
        <f aca="false">ROUND('Monthly P&amp;L'!J28,0)</f>
        <v>650</v>
      </c>
      <c r="D135" s="4"/>
      <c r="E135" s="4"/>
    </row>
    <row r="136" customFormat="false" ht="15" hidden="false" customHeight="false" outlineLevel="0" collapsed="false">
      <c r="A136" s="43" t="str">
        <f aca="false">TEXT('Monthly P&amp;L'!J$5,"yyyy-mm")</f>
        <v>2027-11</v>
      </c>
      <c r="B136" s="2" t="s">
        <v>226</v>
      </c>
      <c r="C136" s="41" t="n">
        <f aca="false">ROUND('Monthly P&amp;L'!J29,0)</f>
        <v>150</v>
      </c>
      <c r="D136" s="4"/>
      <c r="E136" s="4"/>
    </row>
    <row r="137" customFormat="false" ht="15" hidden="false" customHeight="false" outlineLevel="0" collapsed="false">
      <c r="A137" s="43" t="str">
        <f aca="false">TEXT('Monthly P&amp;L'!J$5,"yyyy-mm")</f>
        <v>2027-11</v>
      </c>
      <c r="B137" s="2" t="s">
        <v>227</v>
      </c>
      <c r="C137" s="41" t="n">
        <f aca="false">ROUND('Monthly P&amp;L'!J30,0)</f>
        <v>284</v>
      </c>
      <c r="D137" s="4"/>
      <c r="E137" s="4"/>
    </row>
    <row r="138" customFormat="false" ht="15" hidden="false" customHeight="false" outlineLevel="0" collapsed="false">
      <c r="A138" s="43" t="str">
        <f aca="false">TEXT('Monthly P&amp;L'!J$5,"yyyy-mm")</f>
        <v>2027-11</v>
      </c>
      <c r="B138" s="2" t="s">
        <v>228</v>
      </c>
      <c r="C138" s="41" t="n">
        <f aca="false">ROUND('Monthly P&amp;L'!J31,0)</f>
        <v>877</v>
      </c>
      <c r="D138" s="4"/>
      <c r="E138" s="4"/>
    </row>
    <row r="139" customFormat="false" ht="15" hidden="false" customHeight="false" outlineLevel="0" collapsed="false">
      <c r="A139" s="43" t="str">
        <f aca="false">TEXT('Monthly P&amp;L'!J$5,"yyyy-mm")</f>
        <v>2027-11</v>
      </c>
      <c r="B139" s="2" t="s">
        <v>229</v>
      </c>
      <c r="C139" s="41" t="n">
        <f aca="false">ROUND('Monthly P&amp;L'!J32,0)</f>
        <v>1500</v>
      </c>
      <c r="D139" s="4"/>
      <c r="E139" s="4"/>
    </row>
    <row r="140" customFormat="false" ht="15" hidden="false" customHeight="false" outlineLevel="0" collapsed="false">
      <c r="A140" s="43" t="str">
        <f aca="false">TEXT('Monthly P&amp;L'!J$5,"yyyy-mm")</f>
        <v>2027-11</v>
      </c>
      <c r="B140" s="2" t="s">
        <v>230</v>
      </c>
      <c r="C140" s="41" t="n">
        <f aca="false">ROUND('Monthly P&amp;L'!J33,0)</f>
        <v>1000</v>
      </c>
      <c r="D140" s="4"/>
      <c r="E140" s="4"/>
    </row>
    <row r="141" customFormat="false" ht="15" hidden="false" customHeight="false" outlineLevel="0" collapsed="false">
      <c r="A141" s="43" t="str">
        <f aca="false">TEXT('Monthly P&amp;L'!J$5,"yyyy-mm")</f>
        <v>2027-11</v>
      </c>
      <c r="B141" s="2" t="s">
        <v>231</v>
      </c>
      <c r="C141" s="41" t="n">
        <f aca="false">ROUND('Monthly P&amp;L'!J34,0)</f>
        <v>355</v>
      </c>
      <c r="D141" s="4"/>
      <c r="E141" s="4"/>
    </row>
    <row r="142" customFormat="false" ht="15" hidden="false" customHeight="false" outlineLevel="0" collapsed="false">
      <c r="A142" s="43" t="str">
        <f aca="false">TEXT('Monthly P&amp;L'!J$5,"yyyy-mm")</f>
        <v>2027-11</v>
      </c>
      <c r="B142" s="2" t="s">
        <v>232</v>
      </c>
      <c r="C142" s="41" t="n">
        <f aca="false">ROUND('Monthly P&amp;L'!J35,0)</f>
        <v>355</v>
      </c>
      <c r="D142" s="4"/>
      <c r="E142" s="4"/>
    </row>
    <row r="143" customFormat="false" ht="15" hidden="false" customHeight="false" outlineLevel="0" collapsed="false">
      <c r="A143" s="43" t="str">
        <f aca="false">TEXT('Monthly P&amp;L'!J$5,"yyyy-mm")</f>
        <v>2027-11</v>
      </c>
      <c r="B143" s="2" t="s">
        <v>233</v>
      </c>
      <c r="C143" s="41" t="n">
        <f aca="false">ROUND('Monthly P&amp;L'!J36,0)</f>
        <v>300</v>
      </c>
      <c r="D143" s="4"/>
      <c r="E143" s="4"/>
    </row>
    <row r="144" customFormat="false" ht="15" hidden="false" customHeight="false" outlineLevel="0" collapsed="false">
      <c r="A144" s="43" t="str">
        <f aca="false">TEXT('Monthly P&amp;L'!J$5,"yyyy-mm")</f>
        <v>2027-11</v>
      </c>
      <c r="B144" s="2" t="s">
        <v>234</v>
      </c>
      <c r="C144" s="41" t="n">
        <f aca="false">ROUND('Monthly P&amp;L'!J40,0)</f>
        <v>560</v>
      </c>
      <c r="D144" s="4"/>
      <c r="E144" s="4"/>
    </row>
    <row r="145" customFormat="false" ht="15" hidden="false" customHeight="false" outlineLevel="0" collapsed="false">
      <c r="A145" s="43" t="str">
        <f aca="false">TEXT('Monthly P&amp;L'!J$5,"yyyy-mm")</f>
        <v>2027-11</v>
      </c>
      <c r="B145" s="2" t="s">
        <v>235</v>
      </c>
      <c r="C145" s="41" t="n">
        <f aca="false">ROUND('Monthly P&amp;L'!J42,0)</f>
        <v>886</v>
      </c>
      <c r="D145" s="4"/>
      <c r="E145" s="4"/>
    </row>
    <row r="146" customFormat="false" ht="15" hidden="false" customHeight="false" outlineLevel="0" collapsed="false">
      <c r="A146" s="43" t="str">
        <f aca="false">TEXT('Monthly P&amp;L'!K$5,"yyyy-mm")</f>
        <v>2027-12</v>
      </c>
      <c r="B146" s="2" t="s">
        <v>218</v>
      </c>
      <c r="C146" s="41" t="n">
        <f aca="false">ROUND('Monthly P&amp;L'!K16,0)</f>
        <v>25380</v>
      </c>
      <c r="D146" s="4"/>
      <c r="E146" s="4"/>
    </row>
    <row r="147" customFormat="false" ht="15" hidden="false" customHeight="false" outlineLevel="0" collapsed="false">
      <c r="A147" s="43" t="str">
        <f aca="false">TEXT('Monthly P&amp;L'!K$5,"yyyy-mm")</f>
        <v>2027-12</v>
      </c>
      <c r="B147" s="2" t="s">
        <v>219</v>
      </c>
      <c r="C147" s="41" t="n">
        <f aca="false">ROUND('Monthly P&amp;L'!K17,0)</f>
        <v>-457</v>
      </c>
      <c r="D147" s="4"/>
      <c r="E147" s="4"/>
    </row>
    <row r="148" customFormat="false" ht="15" hidden="false" customHeight="false" outlineLevel="0" collapsed="false">
      <c r="A148" s="43" t="str">
        <f aca="false">TEXT('Monthly P&amp;L'!K$5,"yyyy-mm")</f>
        <v>2027-12</v>
      </c>
      <c r="B148" s="2" t="s">
        <v>220</v>
      </c>
      <c r="C148" s="41" t="n">
        <f aca="false">ROUND('Monthly P&amp;L'!K18,0)</f>
        <v>3750</v>
      </c>
      <c r="D148" s="4"/>
      <c r="E148" s="4"/>
    </row>
    <row r="149" customFormat="false" ht="15" hidden="false" customHeight="false" outlineLevel="0" collapsed="false">
      <c r="A149" s="43" t="str">
        <f aca="false">TEXT('Monthly P&amp;L'!K$5,"yyyy-mm")</f>
        <v>2027-12</v>
      </c>
      <c r="B149" s="2" t="s">
        <v>221</v>
      </c>
      <c r="C149" s="41" t="n">
        <f aca="false">ROUND('Monthly P&amp;L'!K21,0)</f>
        <v>17258</v>
      </c>
      <c r="D149" s="4"/>
      <c r="E149" s="4"/>
    </row>
    <row r="150" customFormat="false" ht="15" hidden="false" customHeight="false" outlineLevel="0" collapsed="false">
      <c r="A150" s="43" t="str">
        <f aca="false">TEXT('Monthly P&amp;L'!K$5,"yyyy-mm")</f>
        <v>2027-12</v>
      </c>
      <c r="B150" s="2" t="s">
        <v>222</v>
      </c>
      <c r="C150" s="41" t="n">
        <f aca="false">ROUND('Monthly P&amp;L'!K25,0)</f>
        <v>3600</v>
      </c>
      <c r="D150" s="4"/>
      <c r="E150" s="4"/>
    </row>
    <row r="151" customFormat="false" ht="15" hidden="false" customHeight="false" outlineLevel="0" collapsed="false">
      <c r="A151" s="43" t="str">
        <f aca="false">TEXT('Monthly P&amp;L'!K$5,"yyyy-mm")</f>
        <v>2027-12</v>
      </c>
      <c r="B151" s="2" t="s">
        <v>223</v>
      </c>
      <c r="C151" s="41" t="n">
        <f aca="false">ROUND('Monthly P&amp;L'!K26,0)</f>
        <v>900</v>
      </c>
      <c r="D151" s="4"/>
      <c r="E151" s="4"/>
    </row>
    <row r="152" customFormat="false" ht="15" hidden="false" customHeight="false" outlineLevel="0" collapsed="false">
      <c r="A152" s="43" t="str">
        <f aca="false">TEXT('Monthly P&amp;L'!K$5,"yyyy-mm")</f>
        <v>2027-12</v>
      </c>
      <c r="B152" s="2" t="s">
        <v>224</v>
      </c>
      <c r="C152" s="41" t="n">
        <f aca="false">ROUND('Monthly P&amp;L'!K27,0)</f>
        <v>7075</v>
      </c>
      <c r="D152" s="4"/>
      <c r="E152" s="4"/>
    </row>
    <row r="153" customFormat="false" ht="15" hidden="false" customHeight="false" outlineLevel="0" collapsed="false">
      <c r="A153" s="43" t="str">
        <f aca="false">TEXT('Monthly P&amp;L'!K$5,"yyyy-mm")</f>
        <v>2027-12</v>
      </c>
      <c r="B153" s="2" t="s">
        <v>225</v>
      </c>
      <c r="C153" s="41" t="n">
        <f aca="false">ROUND('Monthly P&amp;L'!K28,0)</f>
        <v>650</v>
      </c>
      <c r="D153" s="4"/>
      <c r="E153" s="4"/>
    </row>
    <row r="154" customFormat="false" ht="15" hidden="false" customHeight="false" outlineLevel="0" collapsed="false">
      <c r="A154" s="43" t="str">
        <f aca="false">TEXT('Monthly P&amp;L'!K$5,"yyyy-mm")</f>
        <v>2027-12</v>
      </c>
      <c r="B154" s="2" t="s">
        <v>226</v>
      </c>
      <c r="C154" s="41" t="n">
        <f aca="false">ROUND('Monthly P&amp;L'!K29,0)</f>
        <v>150</v>
      </c>
      <c r="D154" s="4"/>
      <c r="E154" s="4"/>
    </row>
    <row r="155" customFormat="false" ht="15" hidden="false" customHeight="false" outlineLevel="0" collapsed="false">
      <c r="A155" s="43" t="str">
        <f aca="false">TEXT('Monthly P&amp;L'!K$5,"yyyy-mm")</f>
        <v>2027-12</v>
      </c>
      <c r="B155" s="2" t="s">
        <v>227</v>
      </c>
      <c r="C155" s="41" t="n">
        <f aca="false">ROUND('Monthly P&amp;L'!K30,0)</f>
        <v>290</v>
      </c>
      <c r="D155" s="4"/>
      <c r="E155" s="4"/>
    </row>
    <row r="156" customFormat="false" ht="15" hidden="false" customHeight="false" outlineLevel="0" collapsed="false">
      <c r="A156" s="43" t="str">
        <f aca="false">TEXT('Monthly P&amp;L'!K$5,"yyyy-mm")</f>
        <v>2027-12</v>
      </c>
      <c r="B156" s="2" t="s">
        <v>228</v>
      </c>
      <c r="C156" s="41" t="n">
        <f aca="false">ROUND('Monthly P&amp;L'!K31,0)</f>
        <v>932</v>
      </c>
      <c r="D156" s="4"/>
      <c r="E156" s="4"/>
    </row>
    <row r="157" customFormat="false" ht="15" hidden="false" customHeight="false" outlineLevel="0" collapsed="false">
      <c r="A157" s="43" t="str">
        <f aca="false">TEXT('Monthly P&amp;L'!K$5,"yyyy-mm")</f>
        <v>2027-12</v>
      </c>
      <c r="B157" s="2" t="s">
        <v>229</v>
      </c>
      <c r="C157" s="41" t="n">
        <f aca="false">ROUND('Monthly P&amp;L'!K32,0)</f>
        <v>1500</v>
      </c>
      <c r="D157" s="4"/>
      <c r="E157" s="4"/>
    </row>
    <row r="158" customFormat="false" ht="15" hidden="false" customHeight="false" outlineLevel="0" collapsed="false">
      <c r="A158" s="43" t="str">
        <f aca="false">TEXT('Monthly P&amp;L'!K$5,"yyyy-mm")</f>
        <v>2027-12</v>
      </c>
      <c r="B158" s="2" t="s">
        <v>230</v>
      </c>
      <c r="C158" s="41" t="n">
        <f aca="false">ROUND('Monthly P&amp;L'!K33,0)</f>
        <v>1000</v>
      </c>
      <c r="D158" s="4"/>
      <c r="E158" s="4"/>
    </row>
    <row r="159" customFormat="false" ht="15" hidden="false" customHeight="false" outlineLevel="0" collapsed="false">
      <c r="A159" s="43" t="str">
        <f aca="false">TEXT('Monthly P&amp;L'!K$5,"yyyy-mm")</f>
        <v>2027-12</v>
      </c>
      <c r="B159" s="2" t="s">
        <v>231</v>
      </c>
      <c r="C159" s="41" t="n">
        <f aca="false">ROUND('Monthly P&amp;L'!K34,0)</f>
        <v>381</v>
      </c>
      <c r="D159" s="4"/>
      <c r="E159" s="4"/>
    </row>
    <row r="160" customFormat="false" ht="15" hidden="false" customHeight="false" outlineLevel="0" collapsed="false">
      <c r="A160" s="43" t="str">
        <f aca="false">TEXT('Monthly P&amp;L'!K$5,"yyyy-mm")</f>
        <v>2027-12</v>
      </c>
      <c r="B160" s="2" t="s">
        <v>232</v>
      </c>
      <c r="C160" s="41" t="n">
        <f aca="false">ROUND('Monthly P&amp;L'!K35,0)</f>
        <v>381</v>
      </c>
      <c r="D160" s="4"/>
      <c r="E160" s="4"/>
    </row>
    <row r="161" customFormat="false" ht="15" hidden="false" customHeight="false" outlineLevel="0" collapsed="false">
      <c r="A161" s="43" t="str">
        <f aca="false">TEXT('Monthly P&amp;L'!K$5,"yyyy-mm")</f>
        <v>2027-12</v>
      </c>
      <c r="B161" s="2" t="s">
        <v>233</v>
      </c>
      <c r="C161" s="41" t="n">
        <f aca="false">ROUND('Monthly P&amp;L'!K36,0)</f>
        <v>300</v>
      </c>
      <c r="D161" s="4"/>
      <c r="E161" s="4"/>
    </row>
    <row r="162" customFormat="false" ht="15" hidden="false" customHeight="false" outlineLevel="0" collapsed="false">
      <c r="A162" s="43" t="str">
        <f aca="false">TEXT('Monthly P&amp;L'!K$5,"yyyy-mm")</f>
        <v>2027-12</v>
      </c>
      <c r="B162" s="2" t="s">
        <v>234</v>
      </c>
      <c r="C162" s="41" t="n">
        <f aca="false">ROUND('Monthly P&amp;L'!K40,0)</f>
        <v>560</v>
      </c>
      <c r="D162" s="4"/>
      <c r="E162" s="4"/>
    </row>
    <row r="163" customFormat="false" ht="15" hidden="false" customHeight="false" outlineLevel="0" collapsed="false">
      <c r="A163" s="43" t="str">
        <f aca="false">TEXT('Monthly P&amp;L'!K$5,"yyyy-mm")</f>
        <v>2027-12</v>
      </c>
      <c r="B163" s="2" t="s">
        <v>235</v>
      </c>
      <c r="C163" s="41" t="n">
        <f aca="false">ROUND('Monthly P&amp;L'!K42,0)</f>
        <v>882</v>
      </c>
      <c r="D163" s="4"/>
      <c r="E163" s="4"/>
    </row>
    <row r="164" customFormat="false" ht="15" hidden="false" customHeight="false" outlineLevel="0" collapsed="false">
      <c r="A164" s="43" t="str">
        <f aca="false">TEXT('Monthly P&amp;L'!L$5,"yyyy-mm")</f>
        <v>2028-01</v>
      </c>
      <c r="B164" s="2" t="s">
        <v>218</v>
      </c>
      <c r="C164" s="41" t="n">
        <f aca="false">ROUND('Monthly P&amp;L'!L16,0)</f>
        <v>27069</v>
      </c>
      <c r="D164" s="4"/>
      <c r="E164" s="4"/>
    </row>
    <row r="165" customFormat="false" ht="15" hidden="false" customHeight="false" outlineLevel="0" collapsed="false">
      <c r="A165" s="43" t="str">
        <f aca="false">TEXT('Monthly P&amp;L'!L$5,"yyyy-mm")</f>
        <v>2028-01</v>
      </c>
      <c r="B165" s="2" t="s">
        <v>219</v>
      </c>
      <c r="C165" s="41" t="n">
        <f aca="false">ROUND('Monthly P&amp;L'!L17,0)</f>
        <v>-487</v>
      </c>
      <c r="D165" s="4"/>
      <c r="E165" s="4"/>
    </row>
    <row r="166" customFormat="false" ht="15" hidden="false" customHeight="false" outlineLevel="0" collapsed="false">
      <c r="A166" s="43" t="str">
        <f aca="false">TEXT('Monthly P&amp;L'!L$5,"yyyy-mm")</f>
        <v>2028-01</v>
      </c>
      <c r="B166" s="2" t="s">
        <v>220</v>
      </c>
      <c r="C166" s="41" t="n">
        <f aca="false">ROUND('Monthly P&amp;L'!L18,0)</f>
        <v>3750</v>
      </c>
      <c r="D166" s="4"/>
      <c r="E166" s="4"/>
    </row>
    <row r="167" customFormat="false" ht="15" hidden="false" customHeight="false" outlineLevel="0" collapsed="false">
      <c r="A167" s="43" t="str">
        <f aca="false">TEXT('Monthly P&amp;L'!L$5,"yyyy-mm")</f>
        <v>2028-01</v>
      </c>
      <c r="B167" s="2" t="s">
        <v>221</v>
      </c>
      <c r="C167" s="41" t="n">
        <f aca="false">ROUND('Monthly P&amp;L'!L21,0)</f>
        <v>18407</v>
      </c>
      <c r="D167" s="4"/>
      <c r="E167" s="4"/>
    </row>
    <row r="168" customFormat="false" ht="15" hidden="false" customHeight="false" outlineLevel="0" collapsed="false">
      <c r="A168" s="43" t="str">
        <f aca="false">TEXT('Monthly P&amp;L'!L$5,"yyyy-mm")</f>
        <v>2028-01</v>
      </c>
      <c r="B168" s="2" t="s">
        <v>222</v>
      </c>
      <c r="C168" s="41" t="n">
        <f aca="false">ROUND('Monthly P&amp;L'!L25,0)</f>
        <v>3600</v>
      </c>
      <c r="D168" s="4"/>
      <c r="E168" s="4"/>
    </row>
    <row r="169" customFormat="false" ht="15" hidden="false" customHeight="false" outlineLevel="0" collapsed="false">
      <c r="A169" s="43" t="str">
        <f aca="false">TEXT('Monthly P&amp;L'!L$5,"yyyy-mm")</f>
        <v>2028-01</v>
      </c>
      <c r="B169" s="2" t="s">
        <v>223</v>
      </c>
      <c r="C169" s="41" t="n">
        <f aca="false">ROUND('Monthly P&amp;L'!L26,0)</f>
        <v>900</v>
      </c>
      <c r="D169" s="4"/>
      <c r="E169" s="4"/>
    </row>
    <row r="170" customFormat="false" ht="15" hidden="false" customHeight="false" outlineLevel="0" collapsed="false">
      <c r="A170" s="43" t="str">
        <f aca="false">TEXT('Monthly P&amp;L'!L$5,"yyyy-mm")</f>
        <v>2028-01</v>
      </c>
      <c r="B170" s="2" t="s">
        <v>224</v>
      </c>
      <c r="C170" s="41" t="n">
        <f aca="false">ROUND('Monthly P&amp;L'!L27,0)</f>
        <v>7075</v>
      </c>
      <c r="D170" s="4"/>
      <c r="E170" s="4"/>
    </row>
    <row r="171" customFormat="false" ht="15" hidden="false" customHeight="false" outlineLevel="0" collapsed="false">
      <c r="A171" s="43" t="str">
        <f aca="false">TEXT('Monthly P&amp;L'!L$5,"yyyy-mm")</f>
        <v>2028-01</v>
      </c>
      <c r="B171" s="2" t="s">
        <v>225</v>
      </c>
      <c r="C171" s="41" t="n">
        <f aca="false">ROUND('Monthly P&amp;L'!L28,0)</f>
        <v>650</v>
      </c>
      <c r="D171" s="4"/>
      <c r="E171" s="4"/>
    </row>
    <row r="172" customFormat="false" ht="15" hidden="false" customHeight="false" outlineLevel="0" collapsed="false">
      <c r="A172" s="43" t="str">
        <f aca="false">TEXT('Monthly P&amp;L'!L$5,"yyyy-mm")</f>
        <v>2028-01</v>
      </c>
      <c r="B172" s="2" t="s">
        <v>226</v>
      </c>
      <c r="C172" s="41" t="n">
        <f aca="false">ROUND('Monthly P&amp;L'!L29,0)</f>
        <v>150</v>
      </c>
      <c r="D172" s="4"/>
      <c r="E172" s="4"/>
    </row>
    <row r="173" customFormat="false" ht="15" hidden="false" customHeight="false" outlineLevel="0" collapsed="false">
      <c r="A173" s="43" t="str">
        <f aca="false">TEXT('Monthly P&amp;L'!L$5,"yyyy-mm")</f>
        <v>2028-01</v>
      </c>
      <c r="B173" s="2" t="s">
        <v>227</v>
      </c>
      <c r="C173" s="41" t="n">
        <f aca="false">ROUND('Monthly P&amp;L'!L30,0)</f>
        <v>296</v>
      </c>
      <c r="D173" s="4"/>
      <c r="E173" s="4"/>
    </row>
    <row r="174" customFormat="false" ht="15" hidden="false" customHeight="false" outlineLevel="0" collapsed="false">
      <c r="A174" s="43" t="str">
        <f aca="false">TEXT('Monthly P&amp;L'!L$5,"yyyy-mm")</f>
        <v>2028-01</v>
      </c>
      <c r="B174" s="2" t="s">
        <v>228</v>
      </c>
      <c r="C174" s="41" t="n">
        <f aca="false">ROUND('Monthly P&amp;L'!L31,0)</f>
        <v>986</v>
      </c>
      <c r="D174" s="4"/>
      <c r="E174" s="4"/>
    </row>
    <row r="175" customFormat="false" ht="15" hidden="false" customHeight="false" outlineLevel="0" collapsed="false">
      <c r="A175" s="43" t="str">
        <f aca="false">TEXT('Monthly P&amp;L'!L$5,"yyyy-mm")</f>
        <v>2028-01</v>
      </c>
      <c r="B175" s="2" t="s">
        <v>229</v>
      </c>
      <c r="C175" s="41" t="n">
        <f aca="false">ROUND('Monthly P&amp;L'!L32,0)</f>
        <v>1500</v>
      </c>
      <c r="D175" s="4"/>
      <c r="E175" s="4"/>
    </row>
    <row r="176" customFormat="false" ht="15" hidden="false" customHeight="false" outlineLevel="0" collapsed="false">
      <c r="A176" s="43" t="str">
        <f aca="false">TEXT('Monthly P&amp;L'!L$5,"yyyy-mm")</f>
        <v>2028-01</v>
      </c>
      <c r="B176" s="2" t="s">
        <v>230</v>
      </c>
      <c r="C176" s="41" t="n">
        <f aca="false">ROUND('Monthly P&amp;L'!L33,0)</f>
        <v>1000</v>
      </c>
      <c r="D176" s="4"/>
      <c r="E176" s="4"/>
    </row>
    <row r="177" customFormat="false" ht="15" hidden="false" customHeight="false" outlineLevel="0" collapsed="false">
      <c r="A177" s="43" t="str">
        <f aca="false">TEXT('Monthly P&amp;L'!L$5,"yyyy-mm")</f>
        <v>2028-01</v>
      </c>
      <c r="B177" s="2" t="s">
        <v>231</v>
      </c>
      <c r="C177" s="41" t="n">
        <f aca="false">ROUND('Monthly P&amp;L'!L34,0)</f>
        <v>406</v>
      </c>
      <c r="D177" s="4"/>
      <c r="E177" s="4"/>
    </row>
    <row r="178" customFormat="false" ht="15" hidden="false" customHeight="false" outlineLevel="0" collapsed="false">
      <c r="A178" s="43" t="str">
        <f aca="false">TEXT('Monthly P&amp;L'!L$5,"yyyy-mm")</f>
        <v>2028-01</v>
      </c>
      <c r="B178" s="2" t="s">
        <v>232</v>
      </c>
      <c r="C178" s="41" t="n">
        <f aca="false">ROUND('Monthly P&amp;L'!L35,0)</f>
        <v>406</v>
      </c>
      <c r="D178" s="4"/>
      <c r="E178" s="4"/>
    </row>
    <row r="179" customFormat="false" ht="15" hidden="false" customHeight="false" outlineLevel="0" collapsed="false">
      <c r="A179" s="43" t="str">
        <f aca="false">TEXT('Monthly P&amp;L'!L$5,"yyyy-mm")</f>
        <v>2028-01</v>
      </c>
      <c r="B179" s="2" t="s">
        <v>233</v>
      </c>
      <c r="C179" s="41" t="n">
        <f aca="false">ROUND('Monthly P&amp;L'!L36,0)</f>
        <v>300</v>
      </c>
      <c r="D179" s="4"/>
      <c r="E179" s="4"/>
    </row>
    <row r="180" customFormat="false" ht="15" hidden="false" customHeight="false" outlineLevel="0" collapsed="false">
      <c r="A180" s="43" t="str">
        <f aca="false">TEXT('Monthly P&amp;L'!L$5,"yyyy-mm")</f>
        <v>2028-01</v>
      </c>
      <c r="B180" s="2" t="s">
        <v>234</v>
      </c>
      <c r="C180" s="41" t="n">
        <f aca="false">ROUND('Monthly P&amp;L'!L40,0)</f>
        <v>560</v>
      </c>
      <c r="D180" s="4"/>
      <c r="E180" s="4"/>
    </row>
    <row r="181" customFormat="false" ht="15" hidden="false" customHeight="false" outlineLevel="0" collapsed="false">
      <c r="A181" s="43" t="str">
        <f aca="false">TEXT('Monthly P&amp;L'!L$5,"yyyy-mm")</f>
        <v>2028-01</v>
      </c>
      <c r="B181" s="2" t="s">
        <v>235</v>
      </c>
      <c r="C181" s="41" t="n">
        <f aca="false">ROUND('Monthly P&amp;L'!L42,0)</f>
        <v>877</v>
      </c>
      <c r="D181" s="4"/>
      <c r="E181" s="4"/>
    </row>
    <row r="182" customFormat="false" ht="15" hidden="false" customHeight="false" outlineLevel="0" collapsed="false">
      <c r="A182" s="43" t="str">
        <f aca="false">TEXT('Monthly P&amp;L'!M$5,"yyyy-mm")</f>
        <v>2028-02</v>
      </c>
      <c r="B182" s="2" t="s">
        <v>218</v>
      </c>
      <c r="C182" s="41" t="n">
        <f aca="false">ROUND('Monthly P&amp;L'!M16,0)</f>
        <v>28725</v>
      </c>
      <c r="D182" s="4"/>
      <c r="E182" s="4"/>
    </row>
    <row r="183" customFormat="false" ht="15" hidden="false" customHeight="false" outlineLevel="0" collapsed="false">
      <c r="A183" s="43" t="str">
        <f aca="false">TEXT('Monthly P&amp;L'!M$5,"yyyy-mm")</f>
        <v>2028-02</v>
      </c>
      <c r="B183" s="2" t="s">
        <v>219</v>
      </c>
      <c r="C183" s="41" t="n">
        <f aca="false">ROUND('Monthly P&amp;L'!M17,0)</f>
        <v>-517</v>
      </c>
      <c r="D183" s="4"/>
      <c r="E183" s="4"/>
    </row>
    <row r="184" customFormat="false" ht="15" hidden="false" customHeight="false" outlineLevel="0" collapsed="false">
      <c r="A184" s="43" t="str">
        <f aca="false">TEXT('Monthly P&amp;L'!M$5,"yyyy-mm")</f>
        <v>2028-02</v>
      </c>
      <c r="B184" s="2" t="s">
        <v>220</v>
      </c>
      <c r="C184" s="41" t="n">
        <f aca="false">ROUND('Monthly P&amp;L'!M18,0)</f>
        <v>3750</v>
      </c>
      <c r="D184" s="4"/>
      <c r="E184" s="4"/>
    </row>
    <row r="185" customFormat="false" ht="15" hidden="false" customHeight="false" outlineLevel="0" collapsed="false">
      <c r="A185" s="43" t="str">
        <f aca="false">TEXT('Monthly P&amp;L'!M$5,"yyyy-mm")</f>
        <v>2028-02</v>
      </c>
      <c r="B185" s="2" t="s">
        <v>221</v>
      </c>
      <c r="C185" s="41" t="n">
        <f aca="false">ROUND('Monthly P&amp;L'!M21,0)</f>
        <v>19533</v>
      </c>
      <c r="D185" s="4"/>
      <c r="E185" s="4"/>
    </row>
    <row r="186" customFormat="false" ht="15" hidden="false" customHeight="false" outlineLevel="0" collapsed="false">
      <c r="A186" s="43" t="str">
        <f aca="false">TEXT('Monthly P&amp;L'!M$5,"yyyy-mm")</f>
        <v>2028-02</v>
      </c>
      <c r="B186" s="2" t="s">
        <v>222</v>
      </c>
      <c r="C186" s="41" t="n">
        <f aca="false">ROUND('Monthly P&amp;L'!M25,0)</f>
        <v>3600</v>
      </c>
      <c r="D186" s="4"/>
      <c r="E186" s="4"/>
    </row>
    <row r="187" customFormat="false" ht="15" hidden="false" customHeight="false" outlineLevel="0" collapsed="false">
      <c r="A187" s="43" t="str">
        <f aca="false">TEXT('Monthly P&amp;L'!M$5,"yyyy-mm")</f>
        <v>2028-02</v>
      </c>
      <c r="B187" s="2" t="s">
        <v>223</v>
      </c>
      <c r="C187" s="41" t="n">
        <f aca="false">ROUND('Monthly P&amp;L'!M26,0)</f>
        <v>900</v>
      </c>
      <c r="D187" s="4"/>
      <c r="E187" s="4"/>
    </row>
    <row r="188" customFormat="false" ht="15" hidden="false" customHeight="false" outlineLevel="0" collapsed="false">
      <c r="A188" s="43" t="str">
        <f aca="false">TEXT('Monthly P&amp;L'!M$5,"yyyy-mm")</f>
        <v>2028-02</v>
      </c>
      <c r="B188" s="2" t="s">
        <v>224</v>
      </c>
      <c r="C188" s="41" t="n">
        <f aca="false">ROUND('Monthly P&amp;L'!M27,0)</f>
        <v>7075</v>
      </c>
      <c r="D188" s="4"/>
      <c r="E188" s="4"/>
    </row>
    <row r="189" customFormat="false" ht="15" hidden="false" customHeight="false" outlineLevel="0" collapsed="false">
      <c r="A189" s="43" t="str">
        <f aca="false">TEXT('Monthly P&amp;L'!M$5,"yyyy-mm")</f>
        <v>2028-02</v>
      </c>
      <c r="B189" s="2" t="s">
        <v>225</v>
      </c>
      <c r="C189" s="41" t="n">
        <f aca="false">ROUND('Monthly P&amp;L'!M28,0)</f>
        <v>650</v>
      </c>
      <c r="D189" s="4"/>
      <c r="E189" s="4"/>
    </row>
    <row r="190" customFormat="false" ht="15" hidden="false" customHeight="false" outlineLevel="0" collapsed="false">
      <c r="A190" s="43" t="str">
        <f aca="false">TEXT('Monthly P&amp;L'!M$5,"yyyy-mm")</f>
        <v>2028-02</v>
      </c>
      <c r="B190" s="2" t="s">
        <v>226</v>
      </c>
      <c r="C190" s="41" t="n">
        <f aca="false">ROUND('Monthly P&amp;L'!M29,0)</f>
        <v>150</v>
      </c>
      <c r="D190" s="4"/>
      <c r="E190" s="4"/>
    </row>
    <row r="191" customFormat="false" ht="15" hidden="false" customHeight="false" outlineLevel="0" collapsed="false">
      <c r="A191" s="43" t="str">
        <f aca="false">TEXT('Monthly P&amp;L'!M$5,"yyyy-mm")</f>
        <v>2028-02</v>
      </c>
      <c r="B191" s="2" t="s">
        <v>227</v>
      </c>
      <c r="C191" s="41" t="n">
        <f aca="false">ROUND('Monthly P&amp;L'!M30,0)</f>
        <v>302</v>
      </c>
      <c r="D191" s="4"/>
      <c r="E191" s="4"/>
    </row>
    <row r="192" customFormat="false" ht="15" hidden="false" customHeight="false" outlineLevel="0" collapsed="false">
      <c r="A192" s="43" t="str">
        <f aca="false">TEXT('Monthly P&amp;L'!M$5,"yyyy-mm")</f>
        <v>2028-02</v>
      </c>
      <c r="B192" s="2" t="s">
        <v>228</v>
      </c>
      <c r="C192" s="41" t="n">
        <f aca="false">ROUND('Monthly P&amp;L'!M31,0)</f>
        <v>1039</v>
      </c>
      <c r="D192" s="4"/>
      <c r="E192" s="4"/>
    </row>
    <row r="193" customFormat="false" ht="15" hidden="false" customHeight="false" outlineLevel="0" collapsed="false">
      <c r="A193" s="43" t="str">
        <f aca="false">TEXT('Monthly P&amp;L'!M$5,"yyyy-mm")</f>
        <v>2028-02</v>
      </c>
      <c r="B193" s="2" t="s">
        <v>229</v>
      </c>
      <c r="C193" s="41" t="n">
        <f aca="false">ROUND('Monthly P&amp;L'!M32,0)</f>
        <v>1500</v>
      </c>
      <c r="D193" s="4"/>
      <c r="E193" s="4"/>
    </row>
    <row r="194" customFormat="false" ht="15" hidden="false" customHeight="false" outlineLevel="0" collapsed="false">
      <c r="A194" s="43" t="str">
        <f aca="false">TEXT('Monthly P&amp;L'!M$5,"yyyy-mm")</f>
        <v>2028-02</v>
      </c>
      <c r="B194" s="2" t="s">
        <v>230</v>
      </c>
      <c r="C194" s="41" t="n">
        <f aca="false">ROUND('Monthly P&amp;L'!M33,0)</f>
        <v>1000</v>
      </c>
      <c r="D194" s="4"/>
      <c r="E194" s="4"/>
    </row>
    <row r="195" customFormat="false" ht="15" hidden="false" customHeight="false" outlineLevel="0" collapsed="false">
      <c r="A195" s="43" t="str">
        <f aca="false">TEXT('Monthly P&amp;L'!M$5,"yyyy-mm")</f>
        <v>2028-02</v>
      </c>
      <c r="B195" s="2" t="s">
        <v>231</v>
      </c>
      <c r="C195" s="41" t="n">
        <f aca="false">ROUND('Monthly P&amp;L'!M34,0)</f>
        <v>431</v>
      </c>
      <c r="D195" s="4"/>
      <c r="E195" s="4"/>
    </row>
    <row r="196" customFormat="false" ht="15" hidden="false" customHeight="false" outlineLevel="0" collapsed="false">
      <c r="A196" s="43" t="str">
        <f aca="false">TEXT('Monthly P&amp;L'!M$5,"yyyy-mm")</f>
        <v>2028-02</v>
      </c>
      <c r="B196" s="2" t="s">
        <v>232</v>
      </c>
      <c r="C196" s="41" t="n">
        <f aca="false">ROUND('Monthly P&amp;L'!M35,0)</f>
        <v>431</v>
      </c>
      <c r="D196" s="4"/>
      <c r="E196" s="4"/>
    </row>
    <row r="197" customFormat="false" ht="15" hidden="false" customHeight="false" outlineLevel="0" collapsed="false">
      <c r="A197" s="43" t="str">
        <f aca="false">TEXT('Monthly P&amp;L'!M$5,"yyyy-mm")</f>
        <v>2028-02</v>
      </c>
      <c r="B197" s="2" t="s">
        <v>233</v>
      </c>
      <c r="C197" s="41" t="n">
        <f aca="false">ROUND('Monthly P&amp;L'!M36,0)</f>
        <v>300</v>
      </c>
      <c r="D197" s="4"/>
      <c r="E197" s="4"/>
    </row>
    <row r="198" customFormat="false" ht="15" hidden="false" customHeight="false" outlineLevel="0" collapsed="false">
      <c r="A198" s="43" t="str">
        <f aca="false">TEXT('Monthly P&amp;L'!M$5,"yyyy-mm")</f>
        <v>2028-02</v>
      </c>
      <c r="B198" s="2" t="s">
        <v>234</v>
      </c>
      <c r="C198" s="41" t="n">
        <f aca="false">ROUND('Monthly P&amp;L'!M40,0)</f>
        <v>560</v>
      </c>
      <c r="D198" s="4"/>
      <c r="E198" s="4"/>
    </row>
    <row r="199" customFormat="false" ht="15" hidden="false" customHeight="false" outlineLevel="0" collapsed="false">
      <c r="A199" s="43" t="str">
        <f aca="false">TEXT('Monthly P&amp;L'!M$5,"yyyy-mm")</f>
        <v>2028-02</v>
      </c>
      <c r="B199" s="2" t="s">
        <v>235</v>
      </c>
      <c r="C199" s="41" t="n">
        <f aca="false">ROUND('Monthly P&amp;L'!M42,0)</f>
        <v>873</v>
      </c>
      <c r="D199" s="4"/>
      <c r="E199" s="4"/>
    </row>
    <row r="200" customFormat="false" ht="15" hidden="false" customHeight="false" outlineLevel="0" collapsed="false">
      <c r="A200" s="43" t="str">
        <f aca="false">TEXT('Monthly P&amp;L'!N$5,"yyyy-mm")</f>
        <v>2028-03</v>
      </c>
      <c r="B200" s="2" t="s">
        <v>218</v>
      </c>
      <c r="C200" s="41" t="n">
        <f aca="false">ROUND('Monthly P&amp;L'!N16,0)</f>
        <v>30347</v>
      </c>
      <c r="D200" s="4"/>
      <c r="E200" s="4"/>
    </row>
    <row r="201" customFormat="false" ht="15" hidden="false" customHeight="false" outlineLevel="0" collapsed="false">
      <c r="A201" s="43" t="str">
        <f aca="false">TEXT('Monthly P&amp;L'!N$5,"yyyy-mm")</f>
        <v>2028-03</v>
      </c>
      <c r="B201" s="2" t="s">
        <v>219</v>
      </c>
      <c r="C201" s="41" t="n">
        <f aca="false">ROUND('Monthly P&amp;L'!N17,0)</f>
        <v>-546</v>
      </c>
      <c r="D201" s="4"/>
      <c r="E201" s="4"/>
    </row>
    <row r="202" customFormat="false" ht="15" hidden="false" customHeight="false" outlineLevel="0" collapsed="false">
      <c r="A202" s="43" t="str">
        <f aca="false">TEXT('Monthly P&amp;L'!N$5,"yyyy-mm")</f>
        <v>2028-03</v>
      </c>
      <c r="B202" s="2" t="s">
        <v>220</v>
      </c>
      <c r="C202" s="41" t="n">
        <f aca="false">ROUND('Monthly P&amp;L'!N18,0)</f>
        <v>3750</v>
      </c>
      <c r="D202" s="4"/>
      <c r="E202" s="4"/>
    </row>
    <row r="203" customFormat="false" ht="15" hidden="false" customHeight="false" outlineLevel="0" collapsed="false">
      <c r="A203" s="43" t="str">
        <f aca="false">TEXT('Monthly P&amp;L'!N$5,"yyyy-mm")</f>
        <v>2028-03</v>
      </c>
      <c r="B203" s="2" t="s">
        <v>221</v>
      </c>
      <c r="C203" s="41" t="n">
        <f aca="false">ROUND('Monthly P&amp;L'!N21,0)</f>
        <v>20636</v>
      </c>
      <c r="D203" s="4"/>
      <c r="E203" s="4"/>
    </row>
    <row r="204" customFormat="false" ht="15" hidden="false" customHeight="false" outlineLevel="0" collapsed="false">
      <c r="A204" s="43" t="str">
        <f aca="false">TEXT('Monthly P&amp;L'!N$5,"yyyy-mm")</f>
        <v>2028-03</v>
      </c>
      <c r="B204" s="2" t="s">
        <v>222</v>
      </c>
      <c r="C204" s="41" t="n">
        <f aca="false">ROUND('Monthly P&amp;L'!N25,0)</f>
        <v>3600</v>
      </c>
      <c r="D204" s="4"/>
      <c r="E204" s="4"/>
    </row>
    <row r="205" customFormat="false" ht="15" hidden="false" customHeight="false" outlineLevel="0" collapsed="false">
      <c r="A205" s="43" t="str">
        <f aca="false">TEXT('Monthly P&amp;L'!N$5,"yyyy-mm")</f>
        <v>2028-03</v>
      </c>
      <c r="B205" s="2" t="s">
        <v>223</v>
      </c>
      <c r="C205" s="41" t="n">
        <f aca="false">ROUND('Monthly P&amp;L'!N26,0)</f>
        <v>900</v>
      </c>
      <c r="D205" s="4"/>
      <c r="E205" s="4"/>
    </row>
    <row r="206" customFormat="false" ht="15" hidden="false" customHeight="false" outlineLevel="0" collapsed="false">
      <c r="A206" s="43" t="str">
        <f aca="false">TEXT('Monthly P&amp;L'!N$5,"yyyy-mm")</f>
        <v>2028-03</v>
      </c>
      <c r="B206" s="2" t="s">
        <v>224</v>
      </c>
      <c r="C206" s="41" t="n">
        <f aca="false">ROUND('Monthly P&amp;L'!N27,0)</f>
        <v>7075</v>
      </c>
      <c r="D206" s="4"/>
      <c r="E206" s="4"/>
    </row>
    <row r="207" customFormat="false" ht="15" hidden="false" customHeight="false" outlineLevel="0" collapsed="false">
      <c r="A207" s="43" t="str">
        <f aca="false">TEXT('Monthly P&amp;L'!N$5,"yyyy-mm")</f>
        <v>2028-03</v>
      </c>
      <c r="B207" s="2" t="s">
        <v>225</v>
      </c>
      <c r="C207" s="41" t="n">
        <f aca="false">ROUND('Monthly P&amp;L'!N28,0)</f>
        <v>650</v>
      </c>
      <c r="D207" s="4"/>
      <c r="E207" s="4"/>
    </row>
    <row r="208" customFormat="false" ht="15" hidden="false" customHeight="false" outlineLevel="0" collapsed="false">
      <c r="A208" s="43" t="str">
        <f aca="false">TEXT('Monthly P&amp;L'!N$5,"yyyy-mm")</f>
        <v>2028-03</v>
      </c>
      <c r="B208" s="2" t="s">
        <v>226</v>
      </c>
      <c r="C208" s="41" t="n">
        <f aca="false">ROUND('Monthly P&amp;L'!N29,0)</f>
        <v>150</v>
      </c>
      <c r="D208" s="4"/>
      <c r="E208" s="4"/>
    </row>
    <row r="209" customFormat="false" ht="15" hidden="false" customHeight="false" outlineLevel="0" collapsed="false">
      <c r="A209" s="43" t="str">
        <f aca="false">TEXT('Monthly P&amp;L'!N$5,"yyyy-mm")</f>
        <v>2028-03</v>
      </c>
      <c r="B209" s="2" t="s">
        <v>227</v>
      </c>
      <c r="C209" s="41" t="n">
        <f aca="false">ROUND('Monthly P&amp;L'!N30,0)</f>
        <v>308</v>
      </c>
      <c r="D209" s="4"/>
      <c r="E209" s="4"/>
    </row>
    <row r="210" customFormat="false" ht="15" hidden="false" customHeight="false" outlineLevel="0" collapsed="false">
      <c r="A210" s="43" t="str">
        <f aca="false">TEXT('Monthly P&amp;L'!N$5,"yyyy-mm")</f>
        <v>2028-03</v>
      </c>
      <c r="B210" s="2" t="s">
        <v>228</v>
      </c>
      <c r="C210" s="41" t="n">
        <f aca="false">ROUND('Monthly P&amp;L'!N31,0)</f>
        <v>1091</v>
      </c>
      <c r="D210" s="4"/>
      <c r="E210" s="4"/>
    </row>
    <row r="211" customFormat="false" ht="15" hidden="false" customHeight="false" outlineLevel="0" collapsed="false">
      <c r="A211" s="43" t="str">
        <f aca="false">TEXT('Monthly P&amp;L'!N$5,"yyyy-mm")</f>
        <v>2028-03</v>
      </c>
      <c r="B211" s="2" t="s">
        <v>229</v>
      </c>
      <c r="C211" s="41" t="n">
        <f aca="false">ROUND('Monthly P&amp;L'!N32,0)</f>
        <v>1500</v>
      </c>
      <c r="D211" s="4"/>
      <c r="E211" s="4"/>
    </row>
    <row r="212" customFormat="false" ht="15" hidden="false" customHeight="false" outlineLevel="0" collapsed="false">
      <c r="A212" s="43" t="str">
        <f aca="false">TEXT('Monthly P&amp;L'!N$5,"yyyy-mm")</f>
        <v>2028-03</v>
      </c>
      <c r="B212" s="2" t="s">
        <v>230</v>
      </c>
      <c r="C212" s="41" t="n">
        <f aca="false">ROUND('Monthly P&amp;L'!N33,0)</f>
        <v>1000</v>
      </c>
      <c r="D212" s="4"/>
      <c r="E212" s="4"/>
    </row>
    <row r="213" customFormat="false" ht="15" hidden="false" customHeight="false" outlineLevel="0" collapsed="false">
      <c r="A213" s="43" t="str">
        <f aca="false">TEXT('Monthly P&amp;L'!N$5,"yyyy-mm")</f>
        <v>2028-03</v>
      </c>
      <c r="B213" s="2" t="s">
        <v>231</v>
      </c>
      <c r="C213" s="41" t="n">
        <f aca="false">ROUND('Monthly P&amp;L'!N34,0)</f>
        <v>455</v>
      </c>
      <c r="D213" s="4"/>
      <c r="E213" s="4"/>
    </row>
    <row r="214" customFormat="false" ht="15" hidden="false" customHeight="false" outlineLevel="0" collapsed="false">
      <c r="A214" s="43" t="str">
        <f aca="false">TEXT('Monthly P&amp;L'!N$5,"yyyy-mm")</f>
        <v>2028-03</v>
      </c>
      <c r="B214" s="2" t="s">
        <v>232</v>
      </c>
      <c r="C214" s="41" t="n">
        <f aca="false">ROUND('Monthly P&amp;L'!N35,0)</f>
        <v>455</v>
      </c>
      <c r="D214" s="4"/>
      <c r="E214" s="4"/>
    </row>
    <row r="215" customFormat="false" ht="15" hidden="false" customHeight="false" outlineLevel="0" collapsed="false">
      <c r="A215" s="43" t="str">
        <f aca="false">TEXT('Monthly P&amp;L'!N$5,"yyyy-mm")</f>
        <v>2028-03</v>
      </c>
      <c r="B215" s="2" t="s">
        <v>233</v>
      </c>
      <c r="C215" s="41" t="n">
        <f aca="false">ROUND('Monthly P&amp;L'!N36,0)</f>
        <v>300</v>
      </c>
      <c r="D215" s="4"/>
      <c r="E215" s="4"/>
    </row>
    <row r="216" customFormat="false" ht="15" hidden="false" customHeight="false" outlineLevel="0" collapsed="false">
      <c r="A216" s="43" t="str">
        <f aca="false">TEXT('Monthly P&amp;L'!N$5,"yyyy-mm")</f>
        <v>2028-03</v>
      </c>
      <c r="B216" s="2" t="s">
        <v>234</v>
      </c>
      <c r="C216" s="41" t="n">
        <f aca="false">ROUND('Monthly P&amp;L'!N40,0)</f>
        <v>560</v>
      </c>
      <c r="D216" s="4"/>
      <c r="E216" s="4"/>
    </row>
    <row r="217" customFormat="false" ht="15" hidden="false" customHeight="false" outlineLevel="0" collapsed="false">
      <c r="A217" s="43" t="str">
        <f aca="false">TEXT('Monthly P&amp;L'!N$5,"yyyy-mm")</f>
        <v>2028-03</v>
      </c>
      <c r="B217" s="2" t="s">
        <v>235</v>
      </c>
      <c r="C217" s="41" t="n">
        <f aca="false">ROUND('Monthly P&amp;L'!N42,0)</f>
        <v>868</v>
      </c>
      <c r="D217" s="4"/>
      <c r="E217" s="4"/>
    </row>
    <row r="218" customFormat="false" ht="15" hidden="false" customHeight="false" outlineLevel="0" collapsed="false">
      <c r="A218" s="43" t="str">
        <f aca="false">TEXT('Monthly P&amp;L'!O$5,"yyyy-mm")</f>
        <v>2028-04</v>
      </c>
      <c r="B218" s="2" t="s">
        <v>218</v>
      </c>
      <c r="C218" s="41" t="n">
        <f aca="false">ROUND('Monthly P&amp;L'!O16,0)</f>
        <v>35268</v>
      </c>
      <c r="D218" s="4"/>
      <c r="E218" s="4"/>
    </row>
    <row r="219" customFormat="false" ht="15" hidden="false" customHeight="false" outlineLevel="0" collapsed="false">
      <c r="A219" s="43" t="str">
        <f aca="false">TEXT('Monthly P&amp;L'!O$5,"yyyy-mm")</f>
        <v>2028-04</v>
      </c>
      <c r="B219" s="2" t="s">
        <v>219</v>
      </c>
      <c r="C219" s="41" t="n">
        <f aca="false">ROUND('Monthly P&amp;L'!O17,0)</f>
        <v>-635</v>
      </c>
      <c r="D219" s="4"/>
      <c r="E219" s="4"/>
    </row>
    <row r="220" customFormat="false" ht="15" hidden="false" customHeight="false" outlineLevel="0" collapsed="false">
      <c r="A220" s="43" t="str">
        <f aca="false">TEXT('Monthly P&amp;L'!O$5,"yyyy-mm")</f>
        <v>2028-04</v>
      </c>
      <c r="B220" s="2" t="s">
        <v>220</v>
      </c>
      <c r="C220" s="41" t="n">
        <f aca="false">ROUND('Monthly P&amp;L'!O18,0)</f>
        <v>20453</v>
      </c>
      <c r="D220" s="4"/>
      <c r="E220" s="4"/>
    </row>
    <row r="221" customFormat="false" ht="15" hidden="false" customHeight="false" outlineLevel="0" collapsed="false">
      <c r="A221" s="43" t="str">
        <f aca="false">TEXT('Monthly P&amp;L'!O$5,"yyyy-mm")</f>
        <v>2028-04</v>
      </c>
      <c r="B221" s="2" t="s">
        <v>221</v>
      </c>
      <c r="C221" s="41" t="n">
        <f aca="false">ROUND('Monthly P&amp;L'!O21,0)</f>
        <v>23982</v>
      </c>
      <c r="D221" s="4"/>
      <c r="E221" s="4"/>
    </row>
    <row r="222" customFormat="false" ht="15" hidden="false" customHeight="false" outlineLevel="0" collapsed="false">
      <c r="A222" s="43" t="str">
        <f aca="false">TEXT('Monthly P&amp;L'!O$5,"yyyy-mm")</f>
        <v>2028-04</v>
      </c>
      <c r="B222" s="2" t="s">
        <v>222</v>
      </c>
      <c r="C222" s="41" t="n">
        <f aca="false">ROUND('Monthly P&amp;L'!O25,0)</f>
        <v>3708</v>
      </c>
      <c r="D222" s="4"/>
      <c r="E222" s="4"/>
    </row>
    <row r="223" customFormat="false" ht="15" hidden="false" customHeight="false" outlineLevel="0" collapsed="false">
      <c r="A223" s="43" t="str">
        <f aca="false">TEXT('Monthly P&amp;L'!O$5,"yyyy-mm")</f>
        <v>2028-04</v>
      </c>
      <c r="B223" s="2" t="s">
        <v>223</v>
      </c>
      <c r="C223" s="41" t="n">
        <f aca="false">ROUND('Monthly P&amp;L'!O26,0)</f>
        <v>900</v>
      </c>
      <c r="D223" s="4"/>
      <c r="E223" s="4"/>
    </row>
    <row r="224" customFormat="false" ht="15" hidden="false" customHeight="false" outlineLevel="0" collapsed="false">
      <c r="A224" s="43" t="str">
        <f aca="false">TEXT('Monthly P&amp;L'!O$5,"yyyy-mm")</f>
        <v>2028-04</v>
      </c>
      <c r="B224" s="2" t="s">
        <v>224</v>
      </c>
      <c r="C224" s="41" t="n">
        <f aca="false">ROUND('Monthly P&amp;L'!O27,0)</f>
        <v>9016</v>
      </c>
      <c r="D224" s="4"/>
      <c r="E224" s="4"/>
    </row>
    <row r="225" customFormat="false" ht="15" hidden="false" customHeight="false" outlineLevel="0" collapsed="false">
      <c r="A225" s="43" t="str">
        <f aca="false">TEXT('Monthly P&amp;L'!O$5,"yyyy-mm")</f>
        <v>2028-04</v>
      </c>
      <c r="B225" s="2" t="s">
        <v>225</v>
      </c>
      <c r="C225" s="41" t="n">
        <f aca="false">ROUND('Monthly P&amp;L'!O28,0)</f>
        <v>650</v>
      </c>
      <c r="D225" s="4"/>
      <c r="E225" s="4"/>
    </row>
    <row r="226" customFormat="false" ht="15" hidden="false" customHeight="false" outlineLevel="0" collapsed="false">
      <c r="A226" s="43" t="str">
        <f aca="false">TEXT('Monthly P&amp;L'!O$5,"yyyy-mm")</f>
        <v>2028-04</v>
      </c>
      <c r="B226" s="2" t="s">
        <v>226</v>
      </c>
      <c r="C226" s="41" t="n">
        <f aca="false">ROUND('Monthly P&amp;L'!O29,0)</f>
        <v>150</v>
      </c>
      <c r="D226" s="4"/>
      <c r="E226" s="4"/>
    </row>
    <row r="227" customFormat="false" ht="15" hidden="false" customHeight="false" outlineLevel="0" collapsed="false">
      <c r="A227" s="43" t="str">
        <f aca="false">TEXT('Monthly P&amp;L'!O$5,"yyyy-mm")</f>
        <v>2028-04</v>
      </c>
      <c r="B227" s="2" t="s">
        <v>227</v>
      </c>
      <c r="C227" s="41" t="n">
        <f aca="false">ROUND('Monthly P&amp;L'!O30,0)</f>
        <v>311</v>
      </c>
      <c r="D227" s="4"/>
      <c r="E227" s="4"/>
    </row>
    <row r="228" customFormat="false" ht="15" hidden="false" customHeight="false" outlineLevel="0" collapsed="false">
      <c r="A228" s="43" t="str">
        <f aca="false">TEXT('Monthly P&amp;L'!O$5,"yyyy-mm")</f>
        <v>2028-04</v>
      </c>
      <c r="B228" s="2" t="s">
        <v>228</v>
      </c>
      <c r="C228" s="41" t="n">
        <f aca="false">ROUND('Monthly P&amp;L'!O31,0)</f>
        <v>1783</v>
      </c>
      <c r="D228" s="4"/>
      <c r="E228" s="4"/>
    </row>
    <row r="229" customFormat="false" ht="15" hidden="false" customHeight="false" outlineLevel="0" collapsed="false">
      <c r="A229" s="43" t="str">
        <f aca="false">TEXT('Monthly P&amp;L'!O$5,"yyyy-mm")</f>
        <v>2028-04</v>
      </c>
      <c r="B229" s="2" t="s">
        <v>229</v>
      </c>
      <c r="C229" s="41" t="n">
        <f aca="false">ROUND('Monthly P&amp;L'!O32,0)</f>
        <v>1200</v>
      </c>
      <c r="D229" s="4"/>
      <c r="E229" s="4"/>
    </row>
    <row r="230" customFormat="false" ht="15" hidden="false" customHeight="false" outlineLevel="0" collapsed="false">
      <c r="A230" s="43" t="str">
        <f aca="false">TEXT('Monthly P&amp;L'!O$5,"yyyy-mm")</f>
        <v>2028-04</v>
      </c>
      <c r="B230" s="2" t="s">
        <v>230</v>
      </c>
      <c r="C230" s="41" t="n">
        <f aca="false">ROUND('Monthly P&amp;L'!O33,0)</f>
        <v>600</v>
      </c>
      <c r="D230" s="4"/>
      <c r="E230" s="4"/>
    </row>
    <row r="231" customFormat="false" ht="15" hidden="false" customHeight="false" outlineLevel="0" collapsed="false">
      <c r="A231" s="43" t="str">
        <f aca="false">TEXT('Monthly P&amp;L'!O$5,"yyyy-mm")</f>
        <v>2028-04</v>
      </c>
      <c r="B231" s="2" t="s">
        <v>231</v>
      </c>
      <c r="C231" s="41" t="n">
        <f aca="false">ROUND('Monthly P&amp;L'!O34,0)</f>
        <v>529</v>
      </c>
      <c r="D231" s="4"/>
      <c r="E231" s="4"/>
    </row>
    <row r="232" customFormat="false" ht="15" hidden="false" customHeight="false" outlineLevel="0" collapsed="false">
      <c r="A232" s="43" t="str">
        <f aca="false">TEXT('Monthly P&amp;L'!O$5,"yyyy-mm")</f>
        <v>2028-04</v>
      </c>
      <c r="B232" s="2" t="s">
        <v>232</v>
      </c>
      <c r="C232" s="41" t="n">
        <f aca="false">ROUND('Monthly P&amp;L'!O35,0)</f>
        <v>529</v>
      </c>
      <c r="D232" s="4"/>
      <c r="E232" s="4"/>
    </row>
    <row r="233" customFormat="false" ht="15" hidden="false" customHeight="false" outlineLevel="0" collapsed="false">
      <c r="A233" s="43" t="str">
        <f aca="false">TEXT('Monthly P&amp;L'!O$5,"yyyy-mm")</f>
        <v>2028-04</v>
      </c>
      <c r="B233" s="2" t="s">
        <v>233</v>
      </c>
      <c r="C233" s="41" t="n">
        <f aca="false">ROUND('Monthly P&amp;L'!O36,0)</f>
        <v>300</v>
      </c>
      <c r="D233" s="4"/>
      <c r="E233" s="4"/>
    </row>
    <row r="234" customFormat="false" ht="15" hidden="false" customHeight="false" outlineLevel="0" collapsed="false">
      <c r="A234" s="43" t="str">
        <f aca="false">TEXT('Monthly P&amp;L'!O$5,"yyyy-mm")</f>
        <v>2028-04</v>
      </c>
      <c r="B234" s="2" t="s">
        <v>234</v>
      </c>
      <c r="C234" s="41" t="n">
        <f aca="false">ROUND('Monthly P&amp;L'!O40,0)</f>
        <v>560</v>
      </c>
      <c r="D234" s="4"/>
      <c r="E234" s="4"/>
    </row>
    <row r="235" customFormat="false" ht="15" hidden="false" customHeight="false" outlineLevel="0" collapsed="false">
      <c r="A235" s="43" t="str">
        <f aca="false">TEXT('Monthly P&amp;L'!O$5,"yyyy-mm")</f>
        <v>2028-04</v>
      </c>
      <c r="B235" s="2" t="s">
        <v>235</v>
      </c>
      <c r="C235" s="41" t="n">
        <f aca="false">ROUND('Monthly P&amp;L'!O42,0)</f>
        <v>863</v>
      </c>
      <c r="D235" s="4"/>
      <c r="E235" s="4"/>
    </row>
    <row r="236" customFormat="false" ht="15" hidden="false" customHeight="false" outlineLevel="0" collapsed="false">
      <c r="A236" s="43" t="str">
        <f aca="false">TEXT('Monthly P&amp;L'!P$5,"yyyy-mm")</f>
        <v>2028-05</v>
      </c>
      <c r="B236" s="2" t="s">
        <v>218</v>
      </c>
      <c r="C236" s="41" t="n">
        <f aca="false">ROUND('Monthly P&amp;L'!P16,0)</f>
        <v>36323</v>
      </c>
      <c r="D236" s="4"/>
      <c r="E236" s="4"/>
    </row>
    <row r="237" customFormat="false" ht="15" hidden="false" customHeight="false" outlineLevel="0" collapsed="false">
      <c r="A237" s="43" t="str">
        <f aca="false">TEXT('Monthly P&amp;L'!P$5,"yyyy-mm")</f>
        <v>2028-05</v>
      </c>
      <c r="B237" s="2" t="s">
        <v>219</v>
      </c>
      <c r="C237" s="41" t="n">
        <f aca="false">ROUND('Monthly P&amp;L'!P17,0)</f>
        <v>-654</v>
      </c>
      <c r="D237" s="4"/>
      <c r="E237" s="4"/>
    </row>
    <row r="238" customFormat="false" ht="15" hidden="false" customHeight="false" outlineLevel="0" collapsed="false">
      <c r="A238" s="43" t="str">
        <f aca="false">TEXT('Monthly P&amp;L'!P$5,"yyyy-mm")</f>
        <v>2028-05</v>
      </c>
      <c r="B238" s="2" t="s">
        <v>220</v>
      </c>
      <c r="C238" s="41" t="n">
        <f aca="false">ROUND('Monthly P&amp;L'!P18,0)</f>
        <v>6768</v>
      </c>
      <c r="D238" s="4"/>
      <c r="E238" s="4"/>
    </row>
    <row r="239" customFormat="false" ht="15" hidden="false" customHeight="false" outlineLevel="0" collapsed="false">
      <c r="A239" s="43" t="str">
        <f aca="false">TEXT('Monthly P&amp;L'!P$5,"yyyy-mm")</f>
        <v>2028-05</v>
      </c>
      <c r="B239" s="2" t="s">
        <v>221</v>
      </c>
      <c r="C239" s="41" t="n">
        <f aca="false">ROUND('Monthly P&amp;L'!P21,0)</f>
        <v>24700</v>
      </c>
      <c r="D239" s="4"/>
      <c r="E239" s="4"/>
    </row>
    <row r="240" customFormat="false" ht="15" hidden="false" customHeight="false" outlineLevel="0" collapsed="false">
      <c r="A240" s="43" t="str">
        <f aca="false">TEXT('Monthly P&amp;L'!P$5,"yyyy-mm")</f>
        <v>2028-05</v>
      </c>
      <c r="B240" s="2" t="s">
        <v>222</v>
      </c>
      <c r="C240" s="41" t="n">
        <f aca="false">ROUND('Monthly P&amp;L'!P25,0)</f>
        <v>3708</v>
      </c>
      <c r="D240" s="4"/>
      <c r="E240" s="4"/>
    </row>
    <row r="241" customFormat="false" ht="15" hidden="false" customHeight="false" outlineLevel="0" collapsed="false">
      <c r="A241" s="43" t="str">
        <f aca="false">TEXT('Monthly P&amp;L'!P$5,"yyyy-mm")</f>
        <v>2028-05</v>
      </c>
      <c r="B241" s="2" t="s">
        <v>223</v>
      </c>
      <c r="C241" s="41" t="n">
        <f aca="false">ROUND('Monthly P&amp;L'!P26,0)</f>
        <v>900</v>
      </c>
      <c r="D241" s="4"/>
      <c r="E241" s="4"/>
    </row>
    <row r="242" customFormat="false" ht="15" hidden="false" customHeight="false" outlineLevel="0" collapsed="false">
      <c r="A242" s="43" t="str">
        <f aca="false">TEXT('Monthly P&amp;L'!P$5,"yyyy-mm")</f>
        <v>2028-05</v>
      </c>
      <c r="B242" s="2" t="s">
        <v>224</v>
      </c>
      <c r="C242" s="41" t="n">
        <f aca="false">ROUND('Monthly P&amp;L'!P27,0)</f>
        <v>9016</v>
      </c>
      <c r="D242" s="4"/>
      <c r="E242" s="4"/>
    </row>
    <row r="243" customFormat="false" ht="15" hidden="false" customHeight="false" outlineLevel="0" collapsed="false">
      <c r="A243" s="43" t="str">
        <f aca="false">TEXT('Monthly P&amp;L'!P$5,"yyyy-mm")</f>
        <v>2028-05</v>
      </c>
      <c r="B243" s="2" t="s">
        <v>225</v>
      </c>
      <c r="C243" s="41" t="n">
        <f aca="false">ROUND('Monthly P&amp;L'!P28,0)</f>
        <v>650</v>
      </c>
      <c r="D243" s="4"/>
      <c r="E243" s="4"/>
    </row>
    <row r="244" customFormat="false" ht="15" hidden="false" customHeight="false" outlineLevel="0" collapsed="false">
      <c r="A244" s="43" t="str">
        <f aca="false">TEXT('Monthly P&amp;L'!P$5,"yyyy-mm")</f>
        <v>2028-05</v>
      </c>
      <c r="B244" s="2" t="s">
        <v>226</v>
      </c>
      <c r="C244" s="41" t="n">
        <f aca="false">ROUND('Monthly P&amp;L'!P29,0)</f>
        <v>150</v>
      </c>
      <c r="D244" s="4"/>
      <c r="E244" s="4"/>
    </row>
    <row r="245" customFormat="false" ht="15" hidden="false" customHeight="false" outlineLevel="0" collapsed="false">
      <c r="A245" s="43" t="str">
        <f aca="false">TEXT('Monthly P&amp;L'!P$5,"yyyy-mm")</f>
        <v>2028-05</v>
      </c>
      <c r="B245" s="2" t="s">
        <v>227</v>
      </c>
      <c r="C245" s="41" t="n">
        <f aca="false">ROUND('Monthly P&amp;L'!P30,0)</f>
        <v>314</v>
      </c>
      <c r="D245" s="4"/>
      <c r="E245" s="4"/>
    </row>
    <row r="246" customFormat="false" ht="15" hidden="false" customHeight="false" outlineLevel="0" collapsed="false">
      <c r="A246" s="43" t="str">
        <f aca="false">TEXT('Monthly P&amp;L'!P$5,"yyyy-mm")</f>
        <v>2028-05</v>
      </c>
      <c r="B246" s="2" t="s">
        <v>228</v>
      </c>
      <c r="C246" s="41" t="n">
        <f aca="false">ROUND('Monthly P&amp;L'!P31,0)</f>
        <v>1379</v>
      </c>
      <c r="D246" s="4"/>
      <c r="E246" s="4"/>
    </row>
    <row r="247" customFormat="false" ht="15" hidden="false" customHeight="false" outlineLevel="0" collapsed="false">
      <c r="A247" s="43" t="str">
        <f aca="false">TEXT('Monthly P&amp;L'!P$5,"yyyy-mm")</f>
        <v>2028-05</v>
      </c>
      <c r="B247" s="2" t="s">
        <v>229</v>
      </c>
      <c r="C247" s="41" t="n">
        <f aca="false">ROUND('Monthly P&amp;L'!P32,0)</f>
        <v>1200</v>
      </c>
      <c r="D247" s="4"/>
      <c r="E247" s="4"/>
    </row>
    <row r="248" customFormat="false" ht="15" hidden="false" customHeight="false" outlineLevel="0" collapsed="false">
      <c r="A248" s="43" t="str">
        <f aca="false">TEXT('Monthly P&amp;L'!P$5,"yyyy-mm")</f>
        <v>2028-05</v>
      </c>
      <c r="B248" s="2" t="s">
        <v>230</v>
      </c>
      <c r="C248" s="41" t="n">
        <f aca="false">ROUND('Monthly P&amp;L'!P33,0)</f>
        <v>600</v>
      </c>
      <c r="D248" s="4"/>
      <c r="E248" s="4"/>
    </row>
    <row r="249" customFormat="false" ht="15" hidden="false" customHeight="false" outlineLevel="0" collapsed="false">
      <c r="A249" s="43" t="str">
        <f aca="false">TEXT('Monthly P&amp;L'!P$5,"yyyy-mm")</f>
        <v>2028-05</v>
      </c>
      <c r="B249" s="2" t="s">
        <v>231</v>
      </c>
      <c r="C249" s="41" t="n">
        <f aca="false">ROUND('Monthly P&amp;L'!P34,0)</f>
        <v>545</v>
      </c>
      <c r="D249" s="4"/>
      <c r="E249" s="4"/>
    </row>
    <row r="250" customFormat="false" ht="15" hidden="false" customHeight="false" outlineLevel="0" collapsed="false">
      <c r="A250" s="43" t="str">
        <f aca="false">TEXT('Monthly P&amp;L'!P$5,"yyyy-mm")</f>
        <v>2028-05</v>
      </c>
      <c r="B250" s="2" t="s">
        <v>232</v>
      </c>
      <c r="C250" s="41" t="n">
        <f aca="false">ROUND('Monthly P&amp;L'!P35,0)</f>
        <v>545</v>
      </c>
      <c r="D250" s="4"/>
      <c r="E250" s="4"/>
    </row>
    <row r="251" customFormat="false" ht="15" hidden="false" customHeight="false" outlineLevel="0" collapsed="false">
      <c r="A251" s="43" t="str">
        <f aca="false">TEXT('Monthly P&amp;L'!P$5,"yyyy-mm")</f>
        <v>2028-05</v>
      </c>
      <c r="B251" s="2" t="s">
        <v>233</v>
      </c>
      <c r="C251" s="41" t="n">
        <f aca="false">ROUND('Monthly P&amp;L'!P36,0)</f>
        <v>300</v>
      </c>
      <c r="D251" s="4"/>
      <c r="E251" s="4"/>
    </row>
    <row r="252" customFormat="false" ht="15" hidden="false" customHeight="false" outlineLevel="0" collapsed="false">
      <c r="A252" s="43" t="str">
        <f aca="false">TEXT('Monthly P&amp;L'!P$5,"yyyy-mm")</f>
        <v>2028-05</v>
      </c>
      <c r="B252" s="2" t="s">
        <v>234</v>
      </c>
      <c r="C252" s="41" t="n">
        <f aca="false">ROUND('Monthly P&amp;L'!P40,0)</f>
        <v>560</v>
      </c>
      <c r="D252" s="4"/>
      <c r="E252" s="4"/>
    </row>
    <row r="253" customFormat="false" ht="15" hidden="false" customHeight="false" outlineLevel="0" collapsed="false">
      <c r="A253" s="43" t="str">
        <f aca="false">TEXT('Monthly P&amp;L'!P$5,"yyyy-mm")</f>
        <v>2028-05</v>
      </c>
      <c r="B253" s="2" t="s">
        <v>235</v>
      </c>
      <c r="C253" s="41" t="n">
        <f aca="false">ROUND('Monthly P&amp;L'!P42,0)</f>
        <v>859</v>
      </c>
      <c r="D253" s="4"/>
      <c r="E253" s="4"/>
    </row>
    <row r="254" customFormat="false" ht="15" hidden="false" customHeight="false" outlineLevel="0" collapsed="false">
      <c r="A254" s="43" t="str">
        <f aca="false">TEXT('Monthly P&amp;L'!Q$5,"yyyy-mm")</f>
        <v>2028-06</v>
      </c>
      <c r="B254" s="2" t="s">
        <v>218</v>
      </c>
      <c r="C254" s="41" t="n">
        <f aca="false">ROUND('Monthly P&amp;L'!Q16,0)</f>
        <v>37358</v>
      </c>
      <c r="D254" s="4"/>
      <c r="E254" s="4"/>
    </row>
    <row r="255" customFormat="false" ht="15" hidden="false" customHeight="false" outlineLevel="0" collapsed="false">
      <c r="A255" s="43" t="str">
        <f aca="false">TEXT('Monthly P&amp;L'!Q$5,"yyyy-mm")</f>
        <v>2028-06</v>
      </c>
      <c r="B255" s="2" t="s">
        <v>219</v>
      </c>
      <c r="C255" s="41" t="n">
        <f aca="false">ROUND('Monthly P&amp;L'!Q17,0)</f>
        <v>-672</v>
      </c>
      <c r="D255" s="4"/>
      <c r="E255" s="4"/>
    </row>
    <row r="256" customFormat="false" ht="15" hidden="false" customHeight="false" outlineLevel="0" collapsed="false">
      <c r="A256" s="43" t="str">
        <f aca="false">TEXT('Monthly P&amp;L'!Q$5,"yyyy-mm")</f>
        <v>2028-06</v>
      </c>
      <c r="B256" s="2" t="s">
        <v>220</v>
      </c>
      <c r="C256" s="41" t="n">
        <f aca="false">ROUND('Monthly P&amp;L'!Q18,0)</f>
        <v>6768</v>
      </c>
      <c r="D256" s="4"/>
      <c r="E256" s="4"/>
    </row>
    <row r="257" customFormat="false" ht="15" hidden="false" customHeight="false" outlineLevel="0" collapsed="false">
      <c r="A257" s="43" t="str">
        <f aca="false">TEXT('Monthly P&amp;L'!Q$5,"yyyy-mm")</f>
        <v>2028-06</v>
      </c>
      <c r="B257" s="2" t="s">
        <v>221</v>
      </c>
      <c r="C257" s="41" t="n">
        <f aca="false">ROUND('Monthly P&amp;L'!Q21,0)</f>
        <v>25404</v>
      </c>
      <c r="D257" s="4"/>
      <c r="E257" s="4"/>
    </row>
    <row r="258" customFormat="false" ht="15" hidden="false" customHeight="false" outlineLevel="0" collapsed="false">
      <c r="A258" s="43" t="str">
        <f aca="false">TEXT('Monthly P&amp;L'!Q$5,"yyyy-mm")</f>
        <v>2028-06</v>
      </c>
      <c r="B258" s="2" t="s">
        <v>222</v>
      </c>
      <c r="C258" s="41" t="n">
        <f aca="false">ROUND('Monthly P&amp;L'!Q25,0)</f>
        <v>3708</v>
      </c>
      <c r="D258" s="4"/>
      <c r="E258" s="4"/>
    </row>
    <row r="259" customFormat="false" ht="15" hidden="false" customHeight="false" outlineLevel="0" collapsed="false">
      <c r="A259" s="43" t="str">
        <f aca="false">TEXT('Monthly P&amp;L'!Q$5,"yyyy-mm")</f>
        <v>2028-06</v>
      </c>
      <c r="B259" s="2" t="s">
        <v>223</v>
      </c>
      <c r="C259" s="41" t="n">
        <f aca="false">ROUND('Monthly P&amp;L'!Q26,0)</f>
        <v>900</v>
      </c>
      <c r="D259" s="4"/>
      <c r="E259" s="4"/>
    </row>
    <row r="260" customFormat="false" ht="15" hidden="false" customHeight="false" outlineLevel="0" collapsed="false">
      <c r="A260" s="43" t="str">
        <f aca="false">TEXT('Monthly P&amp;L'!Q$5,"yyyy-mm")</f>
        <v>2028-06</v>
      </c>
      <c r="B260" s="2" t="s">
        <v>224</v>
      </c>
      <c r="C260" s="41" t="n">
        <f aca="false">ROUND('Monthly P&amp;L'!Q27,0)</f>
        <v>9016</v>
      </c>
      <c r="D260" s="4"/>
      <c r="E260" s="4"/>
    </row>
    <row r="261" customFormat="false" ht="15" hidden="false" customHeight="false" outlineLevel="0" collapsed="false">
      <c r="A261" s="43" t="str">
        <f aca="false">TEXT('Monthly P&amp;L'!Q$5,"yyyy-mm")</f>
        <v>2028-06</v>
      </c>
      <c r="B261" s="2" t="s">
        <v>225</v>
      </c>
      <c r="C261" s="41" t="n">
        <f aca="false">ROUND('Monthly P&amp;L'!Q28,0)</f>
        <v>650</v>
      </c>
      <c r="D261" s="4"/>
      <c r="E261" s="4"/>
    </row>
    <row r="262" customFormat="false" ht="15" hidden="false" customHeight="false" outlineLevel="0" collapsed="false">
      <c r="A262" s="43" t="str">
        <f aca="false">TEXT('Monthly P&amp;L'!Q$5,"yyyy-mm")</f>
        <v>2028-06</v>
      </c>
      <c r="B262" s="2" t="s">
        <v>226</v>
      </c>
      <c r="C262" s="41" t="n">
        <f aca="false">ROUND('Monthly P&amp;L'!Q29,0)</f>
        <v>150</v>
      </c>
      <c r="D262" s="4"/>
      <c r="E262" s="4"/>
    </row>
    <row r="263" customFormat="false" ht="15" hidden="false" customHeight="false" outlineLevel="0" collapsed="false">
      <c r="A263" s="43" t="str">
        <f aca="false">TEXT('Monthly P&amp;L'!Q$5,"yyyy-mm")</f>
        <v>2028-06</v>
      </c>
      <c r="B263" s="2" t="s">
        <v>227</v>
      </c>
      <c r="C263" s="41" t="n">
        <f aca="false">ROUND('Monthly P&amp;L'!Q30,0)</f>
        <v>318</v>
      </c>
      <c r="D263" s="4"/>
      <c r="E263" s="4"/>
    </row>
    <row r="264" customFormat="false" ht="15" hidden="false" customHeight="false" outlineLevel="0" collapsed="false">
      <c r="A264" s="43" t="str">
        <f aca="false">TEXT('Monthly P&amp;L'!Q$5,"yyyy-mm")</f>
        <v>2028-06</v>
      </c>
      <c r="B264" s="2" t="s">
        <v>228</v>
      </c>
      <c r="C264" s="41" t="n">
        <f aca="false">ROUND('Monthly P&amp;L'!Q31,0)</f>
        <v>1412</v>
      </c>
      <c r="D264" s="4"/>
      <c r="E264" s="4"/>
    </row>
    <row r="265" customFormat="false" ht="15" hidden="false" customHeight="false" outlineLevel="0" collapsed="false">
      <c r="A265" s="43" t="str">
        <f aca="false">TEXT('Monthly P&amp;L'!Q$5,"yyyy-mm")</f>
        <v>2028-06</v>
      </c>
      <c r="B265" s="2" t="s">
        <v>229</v>
      </c>
      <c r="C265" s="41" t="n">
        <f aca="false">ROUND('Monthly P&amp;L'!Q32,0)</f>
        <v>1200</v>
      </c>
      <c r="D265" s="4"/>
      <c r="E265" s="4"/>
    </row>
    <row r="266" customFormat="false" ht="15" hidden="false" customHeight="false" outlineLevel="0" collapsed="false">
      <c r="A266" s="43" t="str">
        <f aca="false">TEXT('Monthly P&amp;L'!Q$5,"yyyy-mm")</f>
        <v>2028-06</v>
      </c>
      <c r="B266" s="2" t="s">
        <v>230</v>
      </c>
      <c r="C266" s="41" t="n">
        <f aca="false">ROUND('Monthly P&amp;L'!Q33,0)</f>
        <v>600</v>
      </c>
      <c r="D266" s="4"/>
      <c r="E266" s="4"/>
    </row>
    <row r="267" customFormat="false" ht="15" hidden="false" customHeight="false" outlineLevel="0" collapsed="false">
      <c r="A267" s="43" t="str">
        <f aca="false">TEXT('Monthly P&amp;L'!Q$5,"yyyy-mm")</f>
        <v>2028-06</v>
      </c>
      <c r="B267" s="2" t="s">
        <v>231</v>
      </c>
      <c r="C267" s="41" t="n">
        <f aca="false">ROUND('Monthly P&amp;L'!Q34,0)</f>
        <v>560</v>
      </c>
      <c r="D267" s="4"/>
      <c r="E267" s="4"/>
    </row>
    <row r="268" customFormat="false" ht="15" hidden="false" customHeight="false" outlineLevel="0" collapsed="false">
      <c r="A268" s="43" t="str">
        <f aca="false">TEXT('Monthly P&amp;L'!Q$5,"yyyy-mm")</f>
        <v>2028-06</v>
      </c>
      <c r="B268" s="2" t="s">
        <v>232</v>
      </c>
      <c r="C268" s="41" t="n">
        <f aca="false">ROUND('Monthly P&amp;L'!Q35,0)</f>
        <v>560</v>
      </c>
      <c r="D268" s="4"/>
      <c r="E268" s="4"/>
    </row>
    <row r="269" customFormat="false" ht="15" hidden="false" customHeight="false" outlineLevel="0" collapsed="false">
      <c r="A269" s="43" t="str">
        <f aca="false">TEXT('Monthly P&amp;L'!Q$5,"yyyy-mm")</f>
        <v>2028-06</v>
      </c>
      <c r="B269" s="2" t="s">
        <v>233</v>
      </c>
      <c r="C269" s="41" t="n">
        <f aca="false">ROUND('Monthly P&amp;L'!Q36,0)</f>
        <v>300</v>
      </c>
      <c r="D269" s="4"/>
      <c r="E269" s="4"/>
    </row>
    <row r="270" customFormat="false" ht="15" hidden="false" customHeight="false" outlineLevel="0" collapsed="false">
      <c r="A270" s="43" t="str">
        <f aca="false">TEXT('Monthly P&amp;L'!Q$5,"yyyy-mm")</f>
        <v>2028-06</v>
      </c>
      <c r="B270" s="2" t="s">
        <v>234</v>
      </c>
      <c r="C270" s="41" t="n">
        <f aca="false">ROUND('Monthly P&amp;L'!Q40,0)</f>
        <v>560</v>
      </c>
      <c r="D270" s="4"/>
      <c r="E270" s="4"/>
    </row>
    <row r="271" customFormat="false" ht="15" hidden="false" customHeight="false" outlineLevel="0" collapsed="false">
      <c r="A271" s="43" t="str">
        <f aca="false">TEXT('Monthly P&amp;L'!Q$5,"yyyy-mm")</f>
        <v>2028-06</v>
      </c>
      <c r="B271" s="2" t="s">
        <v>235</v>
      </c>
      <c r="C271" s="41" t="n">
        <f aca="false">ROUND('Monthly P&amp;L'!Q42,0)</f>
        <v>854</v>
      </c>
      <c r="D271" s="4"/>
      <c r="E271" s="4"/>
    </row>
    <row r="272" customFormat="false" ht="15" hidden="false" customHeight="false" outlineLevel="0" collapsed="false">
      <c r="A272" s="43" t="str">
        <f aca="false">TEXT('Monthly P&amp;L'!R$5,"yyyy-mm")</f>
        <v>2028-07</v>
      </c>
      <c r="B272" s="2" t="s">
        <v>218</v>
      </c>
      <c r="C272" s="41" t="n">
        <f aca="false">ROUND('Monthly P&amp;L'!R16,0)</f>
        <v>38372</v>
      </c>
      <c r="D272" s="4"/>
      <c r="E272" s="4"/>
    </row>
    <row r="273" customFormat="false" ht="15" hidden="false" customHeight="false" outlineLevel="0" collapsed="false">
      <c r="A273" s="43" t="str">
        <f aca="false">TEXT('Monthly P&amp;L'!R$5,"yyyy-mm")</f>
        <v>2028-07</v>
      </c>
      <c r="B273" s="2" t="s">
        <v>219</v>
      </c>
      <c r="C273" s="41" t="n">
        <f aca="false">ROUND('Monthly P&amp;L'!R17,0)</f>
        <v>-691</v>
      </c>
      <c r="D273" s="4"/>
      <c r="E273" s="4"/>
    </row>
    <row r="274" customFormat="false" ht="15" hidden="false" customHeight="false" outlineLevel="0" collapsed="false">
      <c r="A274" s="43" t="str">
        <f aca="false">TEXT('Monthly P&amp;L'!R$5,"yyyy-mm")</f>
        <v>2028-07</v>
      </c>
      <c r="B274" s="2" t="s">
        <v>220</v>
      </c>
      <c r="C274" s="41" t="n">
        <f aca="false">ROUND('Monthly P&amp;L'!R18,0)</f>
        <v>6768</v>
      </c>
      <c r="D274" s="4"/>
      <c r="E274" s="4"/>
    </row>
    <row r="275" customFormat="false" ht="15" hidden="false" customHeight="false" outlineLevel="0" collapsed="false">
      <c r="A275" s="43" t="str">
        <f aca="false">TEXT('Monthly P&amp;L'!R$5,"yyyy-mm")</f>
        <v>2028-07</v>
      </c>
      <c r="B275" s="2" t="s">
        <v>221</v>
      </c>
      <c r="C275" s="41" t="n">
        <f aca="false">ROUND('Monthly P&amp;L'!R21,0)</f>
        <v>26093</v>
      </c>
      <c r="D275" s="4"/>
      <c r="E275" s="4"/>
    </row>
    <row r="276" customFormat="false" ht="15" hidden="false" customHeight="false" outlineLevel="0" collapsed="false">
      <c r="A276" s="43" t="str">
        <f aca="false">TEXT('Monthly P&amp;L'!R$5,"yyyy-mm")</f>
        <v>2028-07</v>
      </c>
      <c r="B276" s="2" t="s">
        <v>222</v>
      </c>
      <c r="C276" s="41" t="n">
        <f aca="false">ROUND('Monthly P&amp;L'!R25,0)</f>
        <v>3708</v>
      </c>
      <c r="D276" s="4"/>
      <c r="E276" s="4"/>
    </row>
    <row r="277" customFormat="false" ht="15" hidden="false" customHeight="false" outlineLevel="0" collapsed="false">
      <c r="A277" s="43" t="str">
        <f aca="false">TEXT('Monthly P&amp;L'!R$5,"yyyy-mm")</f>
        <v>2028-07</v>
      </c>
      <c r="B277" s="2" t="s">
        <v>223</v>
      </c>
      <c r="C277" s="41" t="n">
        <f aca="false">ROUND('Monthly P&amp;L'!R26,0)</f>
        <v>900</v>
      </c>
      <c r="D277" s="4"/>
      <c r="E277" s="4"/>
    </row>
    <row r="278" customFormat="false" ht="15" hidden="false" customHeight="false" outlineLevel="0" collapsed="false">
      <c r="A278" s="43" t="str">
        <f aca="false">TEXT('Monthly P&amp;L'!R$5,"yyyy-mm")</f>
        <v>2028-07</v>
      </c>
      <c r="B278" s="2" t="s">
        <v>224</v>
      </c>
      <c r="C278" s="41" t="n">
        <f aca="false">ROUND('Monthly P&amp;L'!R27,0)</f>
        <v>9016</v>
      </c>
      <c r="D278" s="4"/>
      <c r="E278" s="4"/>
    </row>
    <row r="279" customFormat="false" ht="15" hidden="false" customHeight="false" outlineLevel="0" collapsed="false">
      <c r="A279" s="43" t="str">
        <f aca="false">TEXT('Monthly P&amp;L'!R$5,"yyyy-mm")</f>
        <v>2028-07</v>
      </c>
      <c r="B279" s="2" t="s">
        <v>225</v>
      </c>
      <c r="C279" s="41" t="n">
        <f aca="false">ROUND('Monthly P&amp;L'!R28,0)</f>
        <v>650</v>
      </c>
      <c r="D279" s="4"/>
      <c r="E279" s="4"/>
    </row>
    <row r="280" customFormat="false" ht="15" hidden="false" customHeight="false" outlineLevel="0" collapsed="false">
      <c r="A280" s="43" t="str">
        <f aca="false">TEXT('Monthly P&amp;L'!R$5,"yyyy-mm")</f>
        <v>2028-07</v>
      </c>
      <c r="B280" s="2" t="s">
        <v>226</v>
      </c>
      <c r="C280" s="41" t="n">
        <f aca="false">ROUND('Monthly P&amp;L'!R29,0)</f>
        <v>150</v>
      </c>
      <c r="D280" s="4"/>
      <c r="E280" s="4"/>
    </row>
    <row r="281" customFormat="false" ht="15" hidden="false" customHeight="false" outlineLevel="0" collapsed="false">
      <c r="A281" s="43" t="str">
        <f aca="false">TEXT('Monthly P&amp;L'!R$5,"yyyy-mm")</f>
        <v>2028-07</v>
      </c>
      <c r="B281" s="2" t="s">
        <v>227</v>
      </c>
      <c r="C281" s="41" t="n">
        <f aca="false">ROUND('Monthly P&amp;L'!R30,0)</f>
        <v>321</v>
      </c>
      <c r="D281" s="4"/>
      <c r="E281" s="4"/>
    </row>
    <row r="282" customFormat="false" ht="15" hidden="false" customHeight="false" outlineLevel="0" collapsed="false">
      <c r="A282" s="43" t="str">
        <f aca="false">TEXT('Monthly P&amp;L'!R$5,"yyyy-mm")</f>
        <v>2028-07</v>
      </c>
      <c r="B282" s="2" t="s">
        <v>228</v>
      </c>
      <c r="C282" s="41" t="n">
        <f aca="false">ROUND('Monthly P&amp;L'!R31,0)</f>
        <v>1444</v>
      </c>
      <c r="D282" s="4"/>
      <c r="E282" s="4"/>
    </row>
    <row r="283" customFormat="false" ht="15" hidden="false" customHeight="false" outlineLevel="0" collapsed="false">
      <c r="A283" s="43" t="str">
        <f aca="false">TEXT('Monthly P&amp;L'!R$5,"yyyy-mm")</f>
        <v>2028-07</v>
      </c>
      <c r="B283" s="2" t="s">
        <v>229</v>
      </c>
      <c r="C283" s="41" t="n">
        <f aca="false">ROUND('Monthly P&amp;L'!R32,0)</f>
        <v>1200</v>
      </c>
      <c r="D283" s="4"/>
      <c r="E283" s="4"/>
    </row>
    <row r="284" customFormat="false" ht="15" hidden="false" customHeight="false" outlineLevel="0" collapsed="false">
      <c r="A284" s="43" t="str">
        <f aca="false">TEXT('Monthly P&amp;L'!R$5,"yyyy-mm")</f>
        <v>2028-07</v>
      </c>
      <c r="B284" s="2" t="s">
        <v>230</v>
      </c>
      <c r="C284" s="41" t="n">
        <f aca="false">ROUND('Monthly P&amp;L'!R33,0)</f>
        <v>600</v>
      </c>
      <c r="D284" s="4"/>
      <c r="E284" s="4"/>
    </row>
    <row r="285" customFormat="false" ht="15" hidden="false" customHeight="false" outlineLevel="0" collapsed="false">
      <c r="A285" s="43" t="str">
        <f aca="false">TEXT('Monthly P&amp;L'!R$5,"yyyy-mm")</f>
        <v>2028-07</v>
      </c>
      <c r="B285" s="2" t="s">
        <v>231</v>
      </c>
      <c r="C285" s="41" t="n">
        <f aca="false">ROUND('Monthly P&amp;L'!R34,0)</f>
        <v>576</v>
      </c>
      <c r="D285" s="4"/>
      <c r="E285" s="4"/>
    </row>
    <row r="286" customFormat="false" ht="15" hidden="false" customHeight="false" outlineLevel="0" collapsed="false">
      <c r="A286" s="43" t="str">
        <f aca="false">TEXT('Monthly P&amp;L'!R$5,"yyyy-mm")</f>
        <v>2028-07</v>
      </c>
      <c r="B286" s="2" t="s">
        <v>232</v>
      </c>
      <c r="C286" s="41" t="n">
        <f aca="false">ROUND('Monthly P&amp;L'!R35,0)</f>
        <v>576</v>
      </c>
      <c r="D286" s="4"/>
      <c r="E286" s="4"/>
    </row>
    <row r="287" customFormat="false" ht="15" hidden="false" customHeight="false" outlineLevel="0" collapsed="false">
      <c r="A287" s="43" t="str">
        <f aca="false">TEXT('Monthly P&amp;L'!R$5,"yyyy-mm")</f>
        <v>2028-07</v>
      </c>
      <c r="B287" s="2" t="s">
        <v>233</v>
      </c>
      <c r="C287" s="41" t="n">
        <f aca="false">ROUND('Monthly P&amp;L'!R36,0)</f>
        <v>300</v>
      </c>
      <c r="D287" s="4"/>
      <c r="E287" s="4"/>
    </row>
    <row r="288" customFormat="false" ht="15" hidden="false" customHeight="false" outlineLevel="0" collapsed="false">
      <c r="A288" s="43" t="str">
        <f aca="false">TEXT('Monthly P&amp;L'!R$5,"yyyy-mm")</f>
        <v>2028-07</v>
      </c>
      <c r="B288" s="2" t="s">
        <v>234</v>
      </c>
      <c r="C288" s="41" t="n">
        <f aca="false">ROUND('Monthly P&amp;L'!R40,0)</f>
        <v>560</v>
      </c>
      <c r="D288" s="4"/>
      <c r="E288" s="4"/>
    </row>
    <row r="289" customFormat="false" ht="15" hidden="false" customHeight="false" outlineLevel="0" collapsed="false">
      <c r="A289" s="43" t="str">
        <f aca="false">TEXT('Monthly P&amp;L'!R$5,"yyyy-mm")</f>
        <v>2028-07</v>
      </c>
      <c r="B289" s="2" t="s">
        <v>235</v>
      </c>
      <c r="C289" s="41" t="n">
        <f aca="false">ROUND('Monthly P&amp;L'!R42,0)</f>
        <v>849</v>
      </c>
      <c r="D289" s="4"/>
      <c r="E289" s="4"/>
    </row>
    <row r="290" customFormat="false" ht="15" hidden="false" customHeight="false" outlineLevel="0" collapsed="false">
      <c r="A290" s="43" t="str">
        <f aca="false">TEXT('Monthly P&amp;L'!S$5,"yyyy-mm")</f>
        <v>2028-08</v>
      </c>
      <c r="B290" s="2" t="s">
        <v>218</v>
      </c>
      <c r="C290" s="41" t="n">
        <f aca="false">ROUND('Monthly P&amp;L'!S16,0)</f>
        <v>39366</v>
      </c>
      <c r="D290" s="4"/>
      <c r="E290" s="4"/>
    </row>
    <row r="291" customFormat="false" ht="15" hidden="false" customHeight="false" outlineLevel="0" collapsed="false">
      <c r="A291" s="43" t="str">
        <f aca="false">TEXT('Monthly P&amp;L'!S$5,"yyyy-mm")</f>
        <v>2028-08</v>
      </c>
      <c r="B291" s="2" t="s">
        <v>219</v>
      </c>
      <c r="C291" s="41" t="n">
        <f aca="false">ROUND('Monthly P&amp;L'!S17,0)</f>
        <v>-709</v>
      </c>
      <c r="D291" s="4"/>
      <c r="E291" s="4"/>
    </row>
    <row r="292" customFormat="false" ht="15" hidden="false" customHeight="false" outlineLevel="0" collapsed="false">
      <c r="A292" s="43" t="str">
        <f aca="false">TEXT('Monthly P&amp;L'!S$5,"yyyy-mm")</f>
        <v>2028-08</v>
      </c>
      <c r="B292" s="2" t="s">
        <v>220</v>
      </c>
      <c r="C292" s="41" t="n">
        <f aca="false">ROUND('Monthly P&amp;L'!S18,0)</f>
        <v>6768</v>
      </c>
      <c r="D292" s="4"/>
      <c r="E292" s="4"/>
    </row>
    <row r="293" customFormat="false" ht="15" hidden="false" customHeight="false" outlineLevel="0" collapsed="false">
      <c r="A293" s="43" t="str">
        <f aca="false">TEXT('Monthly P&amp;L'!S$5,"yyyy-mm")</f>
        <v>2028-08</v>
      </c>
      <c r="B293" s="2" t="s">
        <v>221</v>
      </c>
      <c r="C293" s="41" t="n">
        <f aca="false">ROUND('Monthly P&amp;L'!S21,0)</f>
        <v>26769</v>
      </c>
      <c r="D293" s="4"/>
      <c r="E293" s="4"/>
    </row>
    <row r="294" customFormat="false" ht="15" hidden="false" customHeight="false" outlineLevel="0" collapsed="false">
      <c r="A294" s="43" t="str">
        <f aca="false">TEXT('Monthly P&amp;L'!S$5,"yyyy-mm")</f>
        <v>2028-08</v>
      </c>
      <c r="B294" s="2" t="s">
        <v>222</v>
      </c>
      <c r="C294" s="41" t="n">
        <f aca="false">ROUND('Monthly P&amp;L'!S25,0)</f>
        <v>3708</v>
      </c>
      <c r="D294" s="4"/>
      <c r="E294" s="4"/>
    </row>
    <row r="295" customFormat="false" ht="15" hidden="false" customHeight="false" outlineLevel="0" collapsed="false">
      <c r="A295" s="43" t="str">
        <f aca="false">TEXT('Monthly P&amp;L'!S$5,"yyyy-mm")</f>
        <v>2028-08</v>
      </c>
      <c r="B295" s="2" t="s">
        <v>223</v>
      </c>
      <c r="C295" s="41" t="n">
        <f aca="false">ROUND('Monthly P&amp;L'!S26,0)</f>
        <v>900</v>
      </c>
      <c r="D295" s="4"/>
      <c r="E295" s="4"/>
    </row>
    <row r="296" customFormat="false" ht="15" hidden="false" customHeight="false" outlineLevel="0" collapsed="false">
      <c r="A296" s="43" t="str">
        <f aca="false">TEXT('Monthly P&amp;L'!S$5,"yyyy-mm")</f>
        <v>2028-08</v>
      </c>
      <c r="B296" s="2" t="s">
        <v>224</v>
      </c>
      <c r="C296" s="41" t="n">
        <f aca="false">ROUND('Monthly P&amp;L'!S27,0)</f>
        <v>9016</v>
      </c>
      <c r="D296" s="4"/>
      <c r="E296" s="4"/>
    </row>
    <row r="297" customFormat="false" ht="15" hidden="false" customHeight="false" outlineLevel="0" collapsed="false">
      <c r="A297" s="43" t="str">
        <f aca="false">TEXT('Monthly P&amp;L'!S$5,"yyyy-mm")</f>
        <v>2028-08</v>
      </c>
      <c r="B297" s="2" t="s">
        <v>225</v>
      </c>
      <c r="C297" s="41" t="n">
        <f aca="false">ROUND('Monthly P&amp;L'!S28,0)</f>
        <v>650</v>
      </c>
      <c r="D297" s="4"/>
      <c r="E297" s="4"/>
    </row>
    <row r="298" customFormat="false" ht="15" hidden="false" customHeight="false" outlineLevel="0" collapsed="false">
      <c r="A298" s="43" t="str">
        <f aca="false">TEXT('Monthly P&amp;L'!S$5,"yyyy-mm")</f>
        <v>2028-08</v>
      </c>
      <c r="B298" s="2" t="s">
        <v>226</v>
      </c>
      <c r="C298" s="41" t="n">
        <f aca="false">ROUND('Monthly P&amp;L'!S29,0)</f>
        <v>150</v>
      </c>
      <c r="D298" s="4"/>
      <c r="E298" s="4"/>
    </row>
    <row r="299" customFormat="false" ht="15" hidden="false" customHeight="false" outlineLevel="0" collapsed="false">
      <c r="A299" s="43" t="str">
        <f aca="false">TEXT('Monthly P&amp;L'!S$5,"yyyy-mm")</f>
        <v>2028-08</v>
      </c>
      <c r="B299" s="2" t="s">
        <v>227</v>
      </c>
      <c r="C299" s="41" t="n">
        <f aca="false">ROUND('Monthly P&amp;L'!S30,0)</f>
        <v>324</v>
      </c>
      <c r="D299" s="4"/>
      <c r="E299" s="4"/>
    </row>
    <row r="300" customFormat="false" ht="15" hidden="false" customHeight="false" outlineLevel="0" collapsed="false">
      <c r="A300" s="43" t="str">
        <f aca="false">TEXT('Monthly P&amp;L'!S$5,"yyyy-mm")</f>
        <v>2028-08</v>
      </c>
      <c r="B300" s="2" t="s">
        <v>228</v>
      </c>
      <c r="C300" s="41" t="n">
        <f aca="false">ROUND('Monthly P&amp;L'!S31,0)</f>
        <v>1476</v>
      </c>
      <c r="D300" s="4"/>
      <c r="E300" s="4"/>
    </row>
    <row r="301" customFormat="false" ht="15" hidden="false" customHeight="false" outlineLevel="0" collapsed="false">
      <c r="A301" s="43" t="str">
        <f aca="false">TEXT('Monthly P&amp;L'!S$5,"yyyy-mm")</f>
        <v>2028-08</v>
      </c>
      <c r="B301" s="2" t="s">
        <v>229</v>
      </c>
      <c r="C301" s="41" t="n">
        <f aca="false">ROUND('Monthly P&amp;L'!S32,0)</f>
        <v>1200</v>
      </c>
      <c r="D301" s="4"/>
      <c r="E301" s="4"/>
    </row>
    <row r="302" customFormat="false" ht="15" hidden="false" customHeight="false" outlineLevel="0" collapsed="false">
      <c r="A302" s="43" t="str">
        <f aca="false">TEXT('Monthly P&amp;L'!S$5,"yyyy-mm")</f>
        <v>2028-08</v>
      </c>
      <c r="B302" s="2" t="s">
        <v>230</v>
      </c>
      <c r="C302" s="41" t="n">
        <f aca="false">ROUND('Monthly P&amp;L'!S33,0)</f>
        <v>600</v>
      </c>
      <c r="D302" s="4"/>
      <c r="E302" s="4"/>
    </row>
    <row r="303" customFormat="false" ht="15" hidden="false" customHeight="false" outlineLevel="0" collapsed="false">
      <c r="A303" s="43" t="str">
        <f aca="false">TEXT('Monthly P&amp;L'!S$5,"yyyy-mm")</f>
        <v>2028-08</v>
      </c>
      <c r="B303" s="2" t="s">
        <v>231</v>
      </c>
      <c r="C303" s="41" t="n">
        <f aca="false">ROUND('Monthly P&amp;L'!S34,0)</f>
        <v>590</v>
      </c>
      <c r="D303" s="4"/>
      <c r="E303" s="4"/>
    </row>
    <row r="304" customFormat="false" ht="15" hidden="false" customHeight="false" outlineLevel="0" collapsed="false">
      <c r="A304" s="43" t="str">
        <f aca="false">TEXT('Monthly P&amp;L'!S$5,"yyyy-mm")</f>
        <v>2028-08</v>
      </c>
      <c r="B304" s="2" t="s">
        <v>232</v>
      </c>
      <c r="C304" s="41" t="n">
        <f aca="false">ROUND('Monthly P&amp;L'!S35,0)</f>
        <v>590</v>
      </c>
      <c r="D304" s="4"/>
      <c r="E304" s="4"/>
    </row>
    <row r="305" customFormat="false" ht="15" hidden="false" customHeight="false" outlineLevel="0" collapsed="false">
      <c r="A305" s="43" t="str">
        <f aca="false">TEXT('Monthly P&amp;L'!S$5,"yyyy-mm")</f>
        <v>2028-08</v>
      </c>
      <c r="B305" s="2" t="s">
        <v>233</v>
      </c>
      <c r="C305" s="41" t="n">
        <f aca="false">ROUND('Monthly P&amp;L'!S36,0)</f>
        <v>300</v>
      </c>
      <c r="D305" s="4"/>
      <c r="E305" s="4"/>
    </row>
    <row r="306" customFormat="false" ht="15" hidden="false" customHeight="false" outlineLevel="0" collapsed="false">
      <c r="A306" s="43" t="str">
        <f aca="false">TEXT('Monthly P&amp;L'!S$5,"yyyy-mm")</f>
        <v>2028-08</v>
      </c>
      <c r="B306" s="2" t="s">
        <v>234</v>
      </c>
      <c r="C306" s="41" t="n">
        <f aca="false">ROUND('Monthly P&amp;L'!S40,0)</f>
        <v>560</v>
      </c>
      <c r="D306" s="4"/>
      <c r="E306" s="4"/>
    </row>
    <row r="307" customFormat="false" ht="15" hidden="false" customHeight="false" outlineLevel="0" collapsed="false">
      <c r="A307" s="43" t="str">
        <f aca="false">TEXT('Monthly P&amp;L'!S$5,"yyyy-mm")</f>
        <v>2028-08</v>
      </c>
      <c r="B307" s="2" t="s">
        <v>235</v>
      </c>
      <c r="C307" s="41" t="n">
        <f aca="false">ROUND('Monthly P&amp;L'!S42,0)</f>
        <v>844</v>
      </c>
      <c r="D307" s="4"/>
      <c r="E307" s="4"/>
    </row>
    <row r="308" customFormat="false" ht="15" hidden="false" customHeight="false" outlineLevel="0" collapsed="false">
      <c r="A308" s="43" t="str">
        <f aca="false">TEXT('Monthly P&amp;L'!T$5,"yyyy-mm")</f>
        <v>2028-09</v>
      </c>
      <c r="B308" s="2" t="s">
        <v>218</v>
      </c>
      <c r="C308" s="41" t="n">
        <f aca="false">ROUND('Monthly P&amp;L'!T16,0)</f>
        <v>40340</v>
      </c>
      <c r="D308" s="4"/>
      <c r="E308" s="4"/>
    </row>
    <row r="309" customFormat="false" ht="15" hidden="false" customHeight="false" outlineLevel="0" collapsed="false">
      <c r="A309" s="43" t="str">
        <f aca="false">TEXT('Monthly P&amp;L'!T$5,"yyyy-mm")</f>
        <v>2028-09</v>
      </c>
      <c r="B309" s="2" t="s">
        <v>219</v>
      </c>
      <c r="C309" s="41" t="n">
        <f aca="false">ROUND('Monthly P&amp;L'!T17,0)</f>
        <v>-726</v>
      </c>
      <c r="D309" s="4"/>
      <c r="E309" s="4"/>
    </row>
    <row r="310" customFormat="false" ht="15" hidden="false" customHeight="false" outlineLevel="0" collapsed="false">
      <c r="A310" s="43" t="str">
        <f aca="false">TEXT('Monthly P&amp;L'!T$5,"yyyy-mm")</f>
        <v>2028-09</v>
      </c>
      <c r="B310" s="2" t="s">
        <v>220</v>
      </c>
      <c r="C310" s="41" t="n">
        <f aca="false">ROUND('Monthly P&amp;L'!T18,0)</f>
        <v>6768</v>
      </c>
      <c r="D310" s="4"/>
      <c r="E310" s="4"/>
    </row>
    <row r="311" customFormat="false" ht="15" hidden="false" customHeight="false" outlineLevel="0" collapsed="false">
      <c r="A311" s="43" t="str">
        <f aca="false">TEXT('Monthly P&amp;L'!T$5,"yyyy-mm")</f>
        <v>2028-09</v>
      </c>
      <c r="B311" s="2" t="s">
        <v>221</v>
      </c>
      <c r="C311" s="41" t="n">
        <f aca="false">ROUND('Monthly P&amp;L'!T21,0)</f>
        <v>27431</v>
      </c>
      <c r="D311" s="4"/>
      <c r="E311" s="4"/>
    </row>
    <row r="312" customFormat="false" ht="15" hidden="false" customHeight="false" outlineLevel="0" collapsed="false">
      <c r="A312" s="43" t="str">
        <f aca="false">TEXT('Monthly P&amp;L'!T$5,"yyyy-mm")</f>
        <v>2028-09</v>
      </c>
      <c r="B312" s="2" t="s">
        <v>222</v>
      </c>
      <c r="C312" s="41" t="n">
        <f aca="false">ROUND('Monthly P&amp;L'!T25,0)</f>
        <v>3708</v>
      </c>
      <c r="D312" s="4"/>
      <c r="E312" s="4"/>
    </row>
    <row r="313" customFormat="false" ht="15" hidden="false" customHeight="false" outlineLevel="0" collapsed="false">
      <c r="A313" s="43" t="str">
        <f aca="false">TEXT('Monthly P&amp;L'!T$5,"yyyy-mm")</f>
        <v>2028-09</v>
      </c>
      <c r="B313" s="2" t="s">
        <v>223</v>
      </c>
      <c r="C313" s="41" t="n">
        <f aca="false">ROUND('Monthly P&amp;L'!T26,0)</f>
        <v>900</v>
      </c>
      <c r="D313" s="4"/>
      <c r="E313" s="4"/>
    </row>
    <row r="314" customFormat="false" ht="15" hidden="false" customHeight="false" outlineLevel="0" collapsed="false">
      <c r="A314" s="43" t="str">
        <f aca="false">TEXT('Monthly P&amp;L'!T$5,"yyyy-mm")</f>
        <v>2028-09</v>
      </c>
      <c r="B314" s="2" t="s">
        <v>224</v>
      </c>
      <c r="C314" s="41" t="n">
        <f aca="false">ROUND('Monthly P&amp;L'!T27,0)</f>
        <v>9016</v>
      </c>
      <c r="D314" s="4"/>
      <c r="E314" s="4"/>
    </row>
    <row r="315" customFormat="false" ht="15" hidden="false" customHeight="false" outlineLevel="0" collapsed="false">
      <c r="A315" s="43" t="str">
        <f aca="false">TEXT('Monthly P&amp;L'!T$5,"yyyy-mm")</f>
        <v>2028-09</v>
      </c>
      <c r="B315" s="2" t="s">
        <v>225</v>
      </c>
      <c r="C315" s="41" t="n">
        <f aca="false">ROUND('Monthly P&amp;L'!T28,0)</f>
        <v>650</v>
      </c>
      <c r="D315" s="4"/>
      <c r="E315" s="4"/>
    </row>
    <row r="316" customFormat="false" ht="15" hidden="false" customHeight="false" outlineLevel="0" collapsed="false">
      <c r="A316" s="43" t="str">
        <f aca="false">TEXT('Monthly P&amp;L'!T$5,"yyyy-mm")</f>
        <v>2028-09</v>
      </c>
      <c r="B316" s="2" t="s">
        <v>226</v>
      </c>
      <c r="C316" s="41" t="n">
        <f aca="false">ROUND('Monthly P&amp;L'!T29,0)</f>
        <v>150</v>
      </c>
      <c r="D316" s="4"/>
      <c r="E316" s="4"/>
    </row>
    <row r="317" customFormat="false" ht="15" hidden="false" customHeight="false" outlineLevel="0" collapsed="false">
      <c r="A317" s="43" t="str">
        <f aca="false">TEXT('Monthly P&amp;L'!T$5,"yyyy-mm")</f>
        <v>2028-09</v>
      </c>
      <c r="B317" s="2" t="s">
        <v>227</v>
      </c>
      <c r="C317" s="41" t="n">
        <f aca="false">ROUND('Monthly P&amp;L'!T30,0)</f>
        <v>327</v>
      </c>
      <c r="D317" s="4"/>
      <c r="E317" s="4"/>
    </row>
    <row r="318" customFormat="false" ht="15" hidden="false" customHeight="false" outlineLevel="0" collapsed="false">
      <c r="A318" s="43" t="str">
        <f aca="false">TEXT('Monthly P&amp;L'!T$5,"yyyy-mm")</f>
        <v>2028-09</v>
      </c>
      <c r="B318" s="2" t="s">
        <v>228</v>
      </c>
      <c r="C318" s="41" t="n">
        <f aca="false">ROUND('Monthly P&amp;L'!T31,0)</f>
        <v>1507</v>
      </c>
      <c r="D318" s="4"/>
      <c r="E318" s="4"/>
    </row>
    <row r="319" customFormat="false" ht="15" hidden="false" customHeight="false" outlineLevel="0" collapsed="false">
      <c r="A319" s="43" t="str">
        <f aca="false">TEXT('Monthly P&amp;L'!T$5,"yyyy-mm")</f>
        <v>2028-09</v>
      </c>
      <c r="B319" s="2" t="s">
        <v>229</v>
      </c>
      <c r="C319" s="41" t="n">
        <f aca="false">ROUND('Monthly P&amp;L'!T32,0)</f>
        <v>1200</v>
      </c>
      <c r="D319" s="4"/>
      <c r="E319" s="4"/>
    </row>
    <row r="320" customFormat="false" ht="15" hidden="false" customHeight="false" outlineLevel="0" collapsed="false">
      <c r="A320" s="43" t="str">
        <f aca="false">TEXT('Monthly P&amp;L'!T$5,"yyyy-mm")</f>
        <v>2028-09</v>
      </c>
      <c r="B320" s="2" t="s">
        <v>230</v>
      </c>
      <c r="C320" s="41" t="n">
        <f aca="false">ROUND('Monthly P&amp;L'!T33,0)</f>
        <v>600</v>
      </c>
      <c r="D320" s="4"/>
      <c r="E320" s="4"/>
    </row>
    <row r="321" customFormat="false" ht="15" hidden="false" customHeight="false" outlineLevel="0" collapsed="false">
      <c r="A321" s="43" t="str">
        <f aca="false">TEXT('Monthly P&amp;L'!T$5,"yyyy-mm")</f>
        <v>2028-09</v>
      </c>
      <c r="B321" s="2" t="s">
        <v>231</v>
      </c>
      <c r="C321" s="41" t="n">
        <f aca="false">ROUND('Monthly P&amp;L'!T34,0)</f>
        <v>605</v>
      </c>
      <c r="D321" s="4"/>
      <c r="E321" s="4"/>
    </row>
    <row r="322" customFormat="false" ht="15" hidden="false" customHeight="false" outlineLevel="0" collapsed="false">
      <c r="A322" s="43" t="str">
        <f aca="false">TEXT('Monthly P&amp;L'!T$5,"yyyy-mm")</f>
        <v>2028-09</v>
      </c>
      <c r="B322" s="2" t="s">
        <v>232</v>
      </c>
      <c r="C322" s="41" t="n">
        <f aca="false">ROUND('Monthly P&amp;L'!T35,0)</f>
        <v>605</v>
      </c>
      <c r="D322" s="4"/>
      <c r="E322" s="4"/>
    </row>
    <row r="323" customFormat="false" ht="15" hidden="false" customHeight="false" outlineLevel="0" collapsed="false">
      <c r="A323" s="43" t="str">
        <f aca="false">TEXT('Monthly P&amp;L'!T$5,"yyyy-mm")</f>
        <v>2028-09</v>
      </c>
      <c r="B323" s="2" t="s">
        <v>233</v>
      </c>
      <c r="C323" s="41" t="n">
        <f aca="false">ROUND('Monthly P&amp;L'!T36,0)</f>
        <v>300</v>
      </c>
      <c r="D323" s="4"/>
      <c r="E323" s="4"/>
    </row>
    <row r="324" customFormat="false" ht="15" hidden="false" customHeight="false" outlineLevel="0" collapsed="false">
      <c r="A324" s="43" t="str">
        <f aca="false">TEXT('Monthly P&amp;L'!T$5,"yyyy-mm")</f>
        <v>2028-09</v>
      </c>
      <c r="B324" s="2" t="s">
        <v>234</v>
      </c>
      <c r="C324" s="41" t="n">
        <f aca="false">ROUND('Monthly P&amp;L'!T40,0)</f>
        <v>560</v>
      </c>
      <c r="D324" s="4"/>
      <c r="E324" s="4"/>
    </row>
    <row r="325" customFormat="false" ht="15" hidden="false" customHeight="false" outlineLevel="0" collapsed="false">
      <c r="A325" s="43" t="str">
        <f aca="false">TEXT('Monthly P&amp;L'!T$5,"yyyy-mm")</f>
        <v>2028-09</v>
      </c>
      <c r="B325" s="2" t="s">
        <v>235</v>
      </c>
      <c r="C325" s="41" t="n">
        <f aca="false">ROUND('Monthly P&amp;L'!T42,0)</f>
        <v>839</v>
      </c>
      <c r="D325" s="4"/>
      <c r="E325" s="4"/>
    </row>
    <row r="326" customFormat="false" ht="15" hidden="false" customHeight="false" outlineLevel="0" collapsed="false">
      <c r="A326" s="43" t="str">
        <f aca="false">TEXT('Monthly P&amp;L'!U$5,"yyyy-mm")</f>
        <v>2028-10</v>
      </c>
      <c r="B326" s="2" t="s">
        <v>218</v>
      </c>
      <c r="C326" s="41" t="n">
        <f aca="false">ROUND('Monthly P&amp;L'!U16,0)</f>
        <v>41294</v>
      </c>
      <c r="D326" s="4"/>
      <c r="E326" s="4"/>
    </row>
    <row r="327" customFormat="false" ht="15" hidden="false" customHeight="false" outlineLevel="0" collapsed="false">
      <c r="A327" s="43" t="str">
        <f aca="false">TEXT('Monthly P&amp;L'!U$5,"yyyy-mm")</f>
        <v>2028-10</v>
      </c>
      <c r="B327" s="2" t="s">
        <v>219</v>
      </c>
      <c r="C327" s="41" t="n">
        <f aca="false">ROUND('Monthly P&amp;L'!U17,0)</f>
        <v>-743</v>
      </c>
      <c r="D327" s="4"/>
      <c r="E327" s="4"/>
    </row>
    <row r="328" customFormat="false" ht="15" hidden="false" customHeight="false" outlineLevel="0" collapsed="false">
      <c r="A328" s="43" t="str">
        <f aca="false">TEXT('Monthly P&amp;L'!U$5,"yyyy-mm")</f>
        <v>2028-10</v>
      </c>
      <c r="B328" s="2" t="s">
        <v>220</v>
      </c>
      <c r="C328" s="41" t="n">
        <f aca="false">ROUND('Monthly P&amp;L'!U18,0)</f>
        <v>5568</v>
      </c>
      <c r="D328" s="4"/>
      <c r="E328" s="4"/>
    </row>
    <row r="329" customFormat="false" ht="15" hidden="false" customHeight="false" outlineLevel="0" collapsed="false">
      <c r="A329" s="43" t="str">
        <f aca="false">TEXT('Monthly P&amp;L'!U$5,"yyyy-mm")</f>
        <v>2028-10</v>
      </c>
      <c r="B329" s="2" t="s">
        <v>221</v>
      </c>
      <c r="C329" s="41" t="n">
        <f aca="false">ROUND('Monthly P&amp;L'!U21,0)</f>
        <v>28080</v>
      </c>
      <c r="D329" s="4"/>
      <c r="E329" s="4"/>
    </row>
    <row r="330" customFormat="false" ht="15" hidden="false" customHeight="false" outlineLevel="0" collapsed="false">
      <c r="A330" s="43" t="str">
        <f aca="false">TEXT('Monthly P&amp;L'!U$5,"yyyy-mm")</f>
        <v>2028-10</v>
      </c>
      <c r="B330" s="2" t="s">
        <v>222</v>
      </c>
      <c r="C330" s="41" t="n">
        <f aca="false">ROUND('Monthly P&amp;L'!U25,0)</f>
        <v>3708</v>
      </c>
      <c r="D330" s="4"/>
      <c r="E330" s="4"/>
    </row>
    <row r="331" customFormat="false" ht="15" hidden="false" customHeight="false" outlineLevel="0" collapsed="false">
      <c r="A331" s="43" t="str">
        <f aca="false">TEXT('Monthly P&amp;L'!U$5,"yyyy-mm")</f>
        <v>2028-10</v>
      </c>
      <c r="B331" s="2" t="s">
        <v>223</v>
      </c>
      <c r="C331" s="41" t="n">
        <f aca="false">ROUND('Monthly P&amp;L'!U26,0)</f>
        <v>900</v>
      </c>
      <c r="D331" s="4"/>
      <c r="E331" s="4"/>
    </row>
    <row r="332" customFormat="false" ht="15" hidden="false" customHeight="false" outlineLevel="0" collapsed="false">
      <c r="A332" s="43" t="str">
        <f aca="false">TEXT('Monthly P&amp;L'!U$5,"yyyy-mm")</f>
        <v>2028-10</v>
      </c>
      <c r="B332" s="2" t="s">
        <v>224</v>
      </c>
      <c r="C332" s="41" t="n">
        <f aca="false">ROUND('Monthly P&amp;L'!U27,0)</f>
        <v>9016</v>
      </c>
      <c r="D332" s="4"/>
      <c r="E332" s="4"/>
    </row>
    <row r="333" customFormat="false" ht="15" hidden="false" customHeight="false" outlineLevel="0" collapsed="false">
      <c r="A333" s="43" t="str">
        <f aca="false">TEXT('Monthly P&amp;L'!U$5,"yyyy-mm")</f>
        <v>2028-10</v>
      </c>
      <c r="B333" s="2" t="s">
        <v>225</v>
      </c>
      <c r="C333" s="41" t="n">
        <f aca="false">ROUND('Monthly P&amp;L'!U28,0)</f>
        <v>650</v>
      </c>
      <c r="D333" s="4"/>
      <c r="E333" s="4"/>
    </row>
    <row r="334" customFormat="false" ht="15" hidden="false" customHeight="false" outlineLevel="0" collapsed="false">
      <c r="A334" s="43" t="str">
        <f aca="false">TEXT('Monthly P&amp;L'!U$5,"yyyy-mm")</f>
        <v>2028-10</v>
      </c>
      <c r="B334" s="2" t="s">
        <v>226</v>
      </c>
      <c r="C334" s="41" t="n">
        <f aca="false">ROUND('Monthly P&amp;L'!U29,0)</f>
        <v>150</v>
      </c>
      <c r="D334" s="4"/>
      <c r="E334" s="4"/>
    </row>
    <row r="335" customFormat="false" ht="15" hidden="false" customHeight="false" outlineLevel="0" collapsed="false">
      <c r="A335" s="43" t="str">
        <f aca="false">TEXT('Monthly P&amp;L'!U$5,"yyyy-mm")</f>
        <v>2028-10</v>
      </c>
      <c r="B335" s="2" t="s">
        <v>227</v>
      </c>
      <c r="C335" s="41" t="n">
        <f aca="false">ROUND('Monthly P&amp;L'!U30,0)</f>
        <v>330</v>
      </c>
      <c r="D335" s="4"/>
      <c r="E335" s="4"/>
    </row>
    <row r="336" customFormat="false" ht="15" hidden="false" customHeight="false" outlineLevel="0" collapsed="false">
      <c r="A336" s="43" t="str">
        <f aca="false">TEXT('Monthly P&amp;L'!U$5,"yyyy-mm")</f>
        <v>2028-10</v>
      </c>
      <c r="B336" s="2" t="s">
        <v>228</v>
      </c>
      <c r="C336" s="41" t="n">
        <f aca="false">ROUND('Monthly P&amp;L'!U31,0)</f>
        <v>1500</v>
      </c>
      <c r="D336" s="4"/>
      <c r="E336" s="4"/>
    </row>
    <row r="337" customFormat="false" ht="15" hidden="false" customHeight="false" outlineLevel="0" collapsed="false">
      <c r="A337" s="43" t="str">
        <f aca="false">TEXT('Monthly P&amp;L'!U$5,"yyyy-mm")</f>
        <v>2028-10</v>
      </c>
      <c r="B337" s="2" t="s">
        <v>229</v>
      </c>
      <c r="C337" s="41" t="n">
        <f aca="false">ROUND('Monthly P&amp;L'!U32,0)</f>
        <v>1200</v>
      </c>
      <c r="D337" s="4"/>
      <c r="E337" s="4"/>
    </row>
    <row r="338" customFormat="false" ht="15" hidden="false" customHeight="false" outlineLevel="0" collapsed="false">
      <c r="A338" s="43" t="str">
        <f aca="false">TEXT('Monthly P&amp;L'!U$5,"yyyy-mm")</f>
        <v>2028-10</v>
      </c>
      <c r="B338" s="2" t="s">
        <v>230</v>
      </c>
      <c r="C338" s="41" t="n">
        <f aca="false">ROUND('Monthly P&amp;L'!U33,0)</f>
        <v>600</v>
      </c>
      <c r="D338" s="4"/>
      <c r="E338" s="4"/>
    </row>
    <row r="339" customFormat="false" ht="15" hidden="false" customHeight="false" outlineLevel="0" collapsed="false">
      <c r="A339" s="43" t="str">
        <f aca="false">TEXT('Monthly P&amp;L'!U$5,"yyyy-mm")</f>
        <v>2028-10</v>
      </c>
      <c r="B339" s="2" t="s">
        <v>231</v>
      </c>
      <c r="C339" s="41" t="n">
        <f aca="false">ROUND('Monthly P&amp;L'!U34,0)</f>
        <v>619</v>
      </c>
      <c r="D339" s="4"/>
      <c r="E339" s="4"/>
    </row>
    <row r="340" customFormat="false" ht="15" hidden="false" customHeight="false" outlineLevel="0" collapsed="false">
      <c r="A340" s="43" t="str">
        <f aca="false">TEXT('Monthly P&amp;L'!U$5,"yyyy-mm")</f>
        <v>2028-10</v>
      </c>
      <c r="B340" s="2" t="s">
        <v>232</v>
      </c>
      <c r="C340" s="41" t="n">
        <f aca="false">ROUND('Monthly P&amp;L'!U35,0)</f>
        <v>619</v>
      </c>
      <c r="D340" s="4"/>
      <c r="E340" s="4"/>
    </row>
    <row r="341" customFormat="false" ht="15" hidden="false" customHeight="false" outlineLevel="0" collapsed="false">
      <c r="A341" s="43" t="str">
        <f aca="false">TEXT('Monthly P&amp;L'!U$5,"yyyy-mm")</f>
        <v>2028-10</v>
      </c>
      <c r="B341" s="2" t="s">
        <v>233</v>
      </c>
      <c r="C341" s="41" t="n">
        <f aca="false">ROUND('Monthly P&amp;L'!U36,0)</f>
        <v>300</v>
      </c>
      <c r="D341" s="4"/>
      <c r="E341" s="4"/>
    </row>
    <row r="342" customFormat="false" ht="15" hidden="false" customHeight="false" outlineLevel="0" collapsed="false">
      <c r="A342" s="43" t="str">
        <f aca="false">TEXT('Monthly P&amp;L'!U$5,"yyyy-mm")</f>
        <v>2028-10</v>
      </c>
      <c r="B342" s="2" t="s">
        <v>234</v>
      </c>
      <c r="C342" s="41" t="n">
        <f aca="false">ROUND('Monthly P&amp;L'!U40,0)</f>
        <v>560</v>
      </c>
      <c r="D342" s="4"/>
      <c r="E342" s="4"/>
    </row>
    <row r="343" customFormat="false" ht="15" hidden="false" customHeight="false" outlineLevel="0" collapsed="false">
      <c r="A343" s="43" t="str">
        <f aca="false">TEXT('Monthly P&amp;L'!U$5,"yyyy-mm")</f>
        <v>2028-10</v>
      </c>
      <c r="B343" s="2" t="s">
        <v>235</v>
      </c>
      <c r="C343" s="41" t="n">
        <f aca="false">ROUND('Monthly P&amp;L'!U42,0)</f>
        <v>834</v>
      </c>
      <c r="D343" s="4"/>
      <c r="E343" s="4"/>
    </row>
    <row r="344" customFormat="false" ht="15" hidden="false" customHeight="false" outlineLevel="0" collapsed="false">
      <c r="A344" s="43" t="str">
        <f aca="false">TEXT('Monthly P&amp;L'!V$5,"yyyy-mm")</f>
        <v>2028-11</v>
      </c>
      <c r="B344" s="2" t="s">
        <v>218</v>
      </c>
      <c r="C344" s="41" t="n">
        <f aca="false">ROUND('Monthly P&amp;L'!V16,0)</f>
        <v>42230</v>
      </c>
      <c r="D344" s="4"/>
      <c r="E344" s="4"/>
    </row>
    <row r="345" customFormat="false" ht="15" hidden="false" customHeight="false" outlineLevel="0" collapsed="false">
      <c r="A345" s="43" t="str">
        <f aca="false">TEXT('Monthly P&amp;L'!V$5,"yyyy-mm")</f>
        <v>2028-11</v>
      </c>
      <c r="B345" s="2" t="s">
        <v>219</v>
      </c>
      <c r="C345" s="41" t="n">
        <f aca="false">ROUND('Monthly P&amp;L'!V17,0)</f>
        <v>-760</v>
      </c>
      <c r="D345" s="4"/>
      <c r="E345" s="4"/>
    </row>
    <row r="346" customFormat="false" ht="15" hidden="false" customHeight="false" outlineLevel="0" collapsed="false">
      <c r="A346" s="43" t="str">
        <f aca="false">TEXT('Monthly P&amp;L'!V$5,"yyyy-mm")</f>
        <v>2028-11</v>
      </c>
      <c r="B346" s="2" t="s">
        <v>220</v>
      </c>
      <c r="C346" s="41" t="n">
        <f aca="false">ROUND('Monthly P&amp;L'!V18,0)</f>
        <v>5568</v>
      </c>
      <c r="D346" s="4"/>
      <c r="E346" s="4"/>
    </row>
    <row r="347" customFormat="false" ht="15" hidden="false" customHeight="false" outlineLevel="0" collapsed="false">
      <c r="A347" s="43" t="str">
        <f aca="false">TEXT('Monthly P&amp;L'!V$5,"yyyy-mm")</f>
        <v>2028-11</v>
      </c>
      <c r="B347" s="2" t="s">
        <v>221</v>
      </c>
      <c r="C347" s="41" t="n">
        <f aca="false">ROUND('Monthly P&amp;L'!V21,0)</f>
        <v>28716</v>
      </c>
      <c r="D347" s="4"/>
      <c r="E347" s="4"/>
    </row>
    <row r="348" customFormat="false" ht="15" hidden="false" customHeight="false" outlineLevel="0" collapsed="false">
      <c r="A348" s="43" t="str">
        <f aca="false">TEXT('Monthly P&amp;L'!V$5,"yyyy-mm")</f>
        <v>2028-11</v>
      </c>
      <c r="B348" s="2" t="s">
        <v>222</v>
      </c>
      <c r="C348" s="41" t="n">
        <f aca="false">ROUND('Monthly P&amp;L'!V25,0)</f>
        <v>3708</v>
      </c>
      <c r="D348" s="4"/>
      <c r="E348" s="4"/>
    </row>
    <row r="349" customFormat="false" ht="15" hidden="false" customHeight="false" outlineLevel="0" collapsed="false">
      <c r="A349" s="43" t="str">
        <f aca="false">TEXT('Monthly P&amp;L'!V$5,"yyyy-mm")</f>
        <v>2028-11</v>
      </c>
      <c r="B349" s="2" t="s">
        <v>223</v>
      </c>
      <c r="C349" s="41" t="n">
        <f aca="false">ROUND('Monthly P&amp;L'!V26,0)</f>
        <v>900</v>
      </c>
      <c r="D349" s="4"/>
      <c r="E349" s="4"/>
    </row>
    <row r="350" customFormat="false" ht="15" hidden="false" customHeight="false" outlineLevel="0" collapsed="false">
      <c r="A350" s="43" t="str">
        <f aca="false">TEXT('Monthly P&amp;L'!V$5,"yyyy-mm")</f>
        <v>2028-11</v>
      </c>
      <c r="B350" s="2" t="s">
        <v>224</v>
      </c>
      <c r="C350" s="41" t="n">
        <f aca="false">ROUND('Monthly P&amp;L'!V27,0)</f>
        <v>9016</v>
      </c>
      <c r="D350" s="4"/>
      <c r="E350" s="4"/>
    </row>
    <row r="351" customFormat="false" ht="15" hidden="false" customHeight="false" outlineLevel="0" collapsed="false">
      <c r="A351" s="43" t="str">
        <f aca="false">TEXT('Monthly P&amp;L'!V$5,"yyyy-mm")</f>
        <v>2028-11</v>
      </c>
      <c r="B351" s="2" t="s">
        <v>225</v>
      </c>
      <c r="C351" s="41" t="n">
        <f aca="false">ROUND('Monthly P&amp;L'!V28,0)</f>
        <v>650</v>
      </c>
      <c r="D351" s="4"/>
      <c r="E351" s="4"/>
    </row>
    <row r="352" customFormat="false" ht="15" hidden="false" customHeight="false" outlineLevel="0" collapsed="false">
      <c r="A352" s="43" t="str">
        <f aca="false">TEXT('Monthly P&amp;L'!V$5,"yyyy-mm")</f>
        <v>2028-11</v>
      </c>
      <c r="B352" s="2" t="s">
        <v>226</v>
      </c>
      <c r="C352" s="41" t="n">
        <f aca="false">ROUND('Monthly P&amp;L'!V29,0)</f>
        <v>150</v>
      </c>
      <c r="D352" s="4"/>
      <c r="E352" s="4"/>
    </row>
    <row r="353" customFormat="false" ht="15" hidden="false" customHeight="false" outlineLevel="0" collapsed="false">
      <c r="A353" s="43" t="str">
        <f aca="false">TEXT('Monthly P&amp;L'!V$5,"yyyy-mm")</f>
        <v>2028-11</v>
      </c>
      <c r="B353" s="2" t="s">
        <v>227</v>
      </c>
      <c r="C353" s="41" t="n">
        <f aca="false">ROUND('Monthly P&amp;L'!V30,0)</f>
        <v>333</v>
      </c>
      <c r="D353" s="4"/>
      <c r="E353" s="4"/>
    </row>
    <row r="354" customFormat="false" ht="15" hidden="false" customHeight="false" outlineLevel="0" collapsed="false">
      <c r="A354" s="43" t="str">
        <f aca="false">TEXT('Monthly P&amp;L'!V$5,"yyyy-mm")</f>
        <v>2028-11</v>
      </c>
      <c r="B354" s="2" t="s">
        <v>228</v>
      </c>
      <c r="C354" s="41" t="n">
        <f aca="false">ROUND('Monthly P&amp;L'!V31,0)</f>
        <v>1530</v>
      </c>
      <c r="D354" s="4"/>
      <c r="E354" s="4"/>
    </row>
    <row r="355" customFormat="false" ht="15" hidden="false" customHeight="false" outlineLevel="0" collapsed="false">
      <c r="A355" s="43" t="str">
        <f aca="false">TEXT('Monthly P&amp;L'!V$5,"yyyy-mm")</f>
        <v>2028-11</v>
      </c>
      <c r="B355" s="2" t="s">
        <v>229</v>
      </c>
      <c r="C355" s="41" t="n">
        <f aca="false">ROUND('Monthly P&amp;L'!V32,0)</f>
        <v>1200</v>
      </c>
      <c r="D355" s="4"/>
      <c r="E355" s="4"/>
    </row>
    <row r="356" customFormat="false" ht="15" hidden="false" customHeight="false" outlineLevel="0" collapsed="false">
      <c r="A356" s="43" t="str">
        <f aca="false">TEXT('Monthly P&amp;L'!V$5,"yyyy-mm")</f>
        <v>2028-11</v>
      </c>
      <c r="B356" s="2" t="s">
        <v>230</v>
      </c>
      <c r="C356" s="41" t="n">
        <f aca="false">ROUND('Monthly P&amp;L'!V33,0)</f>
        <v>600</v>
      </c>
      <c r="D356" s="4"/>
      <c r="E356" s="4"/>
    </row>
    <row r="357" customFormat="false" ht="15" hidden="false" customHeight="false" outlineLevel="0" collapsed="false">
      <c r="A357" s="43" t="str">
        <f aca="false">TEXT('Monthly P&amp;L'!V$5,"yyyy-mm")</f>
        <v>2028-11</v>
      </c>
      <c r="B357" s="2" t="s">
        <v>231</v>
      </c>
      <c r="C357" s="41" t="n">
        <f aca="false">ROUND('Monthly P&amp;L'!V34,0)</f>
        <v>633</v>
      </c>
      <c r="D357" s="4"/>
      <c r="E357" s="4"/>
    </row>
    <row r="358" customFormat="false" ht="15" hidden="false" customHeight="false" outlineLevel="0" collapsed="false">
      <c r="A358" s="43" t="str">
        <f aca="false">TEXT('Monthly P&amp;L'!V$5,"yyyy-mm")</f>
        <v>2028-11</v>
      </c>
      <c r="B358" s="2" t="s">
        <v>232</v>
      </c>
      <c r="C358" s="41" t="n">
        <f aca="false">ROUND('Monthly P&amp;L'!V35,0)</f>
        <v>633</v>
      </c>
      <c r="D358" s="4"/>
      <c r="E358" s="4"/>
    </row>
    <row r="359" customFormat="false" ht="15" hidden="false" customHeight="false" outlineLevel="0" collapsed="false">
      <c r="A359" s="43" t="str">
        <f aca="false">TEXT('Monthly P&amp;L'!V$5,"yyyy-mm")</f>
        <v>2028-11</v>
      </c>
      <c r="B359" s="2" t="s">
        <v>233</v>
      </c>
      <c r="C359" s="41" t="n">
        <f aca="false">ROUND('Monthly P&amp;L'!V36,0)</f>
        <v>300</v>
      </c>
      <c r="D359" s="4"/>
      <c r="E359" s="4"/>
    </row>
    <row r="360" customFormat="false" ht="15" hidden="false" customHeight="false" outlineLevel="0" collapsed="false">
      <c r="A360" s="43" t="str">
        <f aca="false">TEXT('Monthly P&amp;L'!V$5,"yyyy-mm")</f>
        <v>2028-11</v>
      </c>
      <c r="B360" s="2" t="s">
        <v>234</v>
      </c>
      <c r="C360" s="41" t="n">
        <f aca="false">ROUND('Monthly P&amp;L'!V40,0)</f>
        <v>560</v>
      </c>
      <c r="D360" s="4"/>
      <c r="E360" s="4"/>
    </row>
    <row r="361" customFormat="false" ht="15" hidden="false" customHeight="false" outlineLevel="0" collapsed="false">
      <c r="A361" s="43" t="str">
        <f aca="false">TEXT('Monthly P&amp;L'!V$5,"yyyy-mm")</f>
        <v>2028-11</v>
      </c>
      <c r="B361" s="2" t="s">
        <v>235</v>
      </c>
      <c r="C361" s="41" t="n">
        <f aca="false">ROUND('Monthly P&amp;L'!V42,0)</f>
        <v>829</v>
      </c>
      <c r="D361" s="4"/>
      <c r="E361" s="4"/>
    </row>
    <row r="362" customFormat="false" ht="15" hidden="false" customHeight="false" outlineLevel="0" collapsed="false">
      <c r="A362" s="43" t="str">
        <f aca="false">TEXT('Monthly P&amp;L'!W$5,"yyyy-mm")</f>
        <v>2028-12</v>
      </c>
      <c r="B362" s="2" t="s">
        <v>218</v>
      </c>
      <c r="C362" s="41" t="n">
        <f aca="false">ROUND('Monthly P&amp;L'!W16,0)</f>
        <v>43146</v>
      </c>
      <c r="D362" s="4"/>
      <c r="E362" s="4"/>
    </row>
    <row r="363" customFormat="false" ht="15" hidden="false" customHeight="false" outlineLevel="0" collapsed="false">
      <c r="A363" s="43" t="str">
        <f aca="false">TEXT('Monthly P&amp;L'!W$5,"yyyy-mm")</f>
        <v>2028-12</v>
      </c>
      <c r="B363" s="2" t="s">
        <v>219</v>
      </c>
      <c r="C363" s="41" t="n">
        <f aca="false">ROUND('Monthly P&amp;L'!W17,0)</f>
        <v>-777</v>
      </c>
      <c r="D363" s="4"/>
      <c r="E363" s="4"/>
    </row>
    <row r="364" customFormat="false" ht="15" hidden="false" customHeight="false" outlineLevel="0" collapsed="false">
      <c r="A364" s="43" t="str">
        <f aca="false">TEXT('Monthly P&amp;L'!W$5,"yyyy-mm")</f>
        <v>2028-12</v>
      </c>
      <c r="B364" s="2" t="s">
        <v>220</v>
      </c>
      <c r="C364" s="41" t="n">
        <f aca="false">ROUND('Monthly P&amp;L'!W18,0)</f>
        <v>5568</v>
      </c>
      <c r="D364" s="4"/>
      <c r="E364" s="4"/>
    </row>
    <row r="365" customFormat="false" ht="15" hidden="false" customHeight="false" outlineLevel="0" collapsed="false">
      <c r="A365" s="43" t="str">
        <f aca="false">TEXT('Monthly P&amp;L'!W$5,"yyyy-mm")</f>
        <v>2028-12</v>
      </c>
      <c r="B365" s="2" t="s">
        <v>221</v>
      </c>
      <c r="C365" s="41" t="n">
        <f aca="false">ROUND('Monthly P&amp;L'!W21,0)</f>
        <v>29339</v>
      </c>
      <c r="D365" s="4"/>
      <c r="E365" s="4"/>
    </row>
    <row r="366" customFormat="false" ht="15" hidden="false" customHeight="false" outlineLevel="0" collapsed="false">
      <c r="A366" s="43" t="str">
        <f aca="false">TEXT('Monthly P&amp;L'!W$5,"yyyy-mm")</f>
        <v>2028-12</v>
      </c>
      <c r="B366" s="2" t="s">
        <v>222</v>
      </c>
      <c r="C366" s="41" t="n">
        <f aca="false">ROUND('Monthly P&amp;L'!W25,0)</f>
        <v>3708</v>
      </c>
      <c r="D366" s="4"/>
      <c r="E366" s="4"/>
    </row>
    <row r="367" customFormat="false" ht="15" hidden="false" customHeight="false" outlineLevel="0" collapsed="false">
      <c r="A367" s="43" t="str">
        <f aca="false">TEXT('Monthly P&amp;L'!W$5,"yyyy-mm")</f>
        <v>2028-12</v>
      </c>
      <c r="B367" s="2" t="s">
        <v>223</v>
      </c>
      <c r="C367" s="41" t="n">
        <f aca="false">ROUND('Monthly P&amp;L'!W26,0)</f>
        <v>900</v>
      </c>
      <c r="D367" s="4"/>
      <c r="E367" s="4"/>
    </row>
    <row r="368" customFormat="false" ht="15" hidden="false" customHeight="false" outlineLevel="0" collapsed="false">
      <c r="A368" s="43" t="str">
        <f aca="false">TEXT('Monthly P&amp;L'!W$5,"yyyy-mm")</f>
        <v>2028-12</v>
      </c>
      <c r="B368" s="2" t="s">
        <v>224</v>
      </c>
      <c r="C368" s="41" t="n">
        <f aca="false">ROUND('Monthly P&amp;L'!W27,0)</f>
        <v>9016</v>
      </c>
      <c r="D368" s="4"/>
      <c r="E368" s="4"/>
    </row>
    <row r="369" customFormat="false" ht="15" hidden="false" customHeight="false" outlineLevel="0" collapsed="false">
      <c r="A369" s="43" t="str">
        <f aca="false">TEXT('Monthly P&amp;L'!W$5,"yyyy-mm")</f>
        <v>2028-12</v>
      </c>
      <c r="B369" s="2" t="s">
        <v>225</v>
      </c>
      <c r="C369" s="41" t="n">
        <f aca="false">ROUND('Monthly P&amp;L'!W28,0)</f>
        <v>650</v>
      </c>
      <c r="D369" s="4"/>
      <c r="E369" s="4"/>
    </row>
    <row r="370" customFormat="false" ht="15" hidden="false" customHeight="false" outlineLevel="0" collapsed="false">
      <c r="A370" s="43" t="str">
        <f aca="false">TEXT('Monthly P&amp;L'!W$5,"yyyy-mm")</f>
        <v>2028-12</v>
      </c>
      <c r="B370" s="2" t="s">
        <v>226</v>
      </c>
      <c r="C370" s="41" t="n">
        <f aca="false">ROUND('Monthly P&amp;L'!W29,0)</f>
        <v>150</v>
      </c>
      <c r="D370" s="4"/>
      <c r="E370" s="4"/>
    </row>
    <row r="371" customFormat="false" ht="15" hidden="false" customHeight="false" outlineLevel="0" collapsed="false">
      <c r="A371" s="43" t="str">
        <f aca="false">TEXT('Monthly P&amp;L'!W$5,"yyyy-mm")</f>
        <v>2028-12</v>
      </c>
      <c r="B371" s="2" t="s">
        <v>227</v>
      </c>
      <c r="C371" s="41" t="n">
        <f aca="false">ROUND('Monthly P&amp;L'!W30,0)</f>
        <v>336</v>
      </c>
      <c r="D371" s="4"/>
      <c r="E371" s="4"/>
    </row>
    <row r="372" customFormat="false" ht="15" hidden="false" customHeight="false" outlineLevel="0" collapsed="false">
      <c r="A372" s="43" t="str">
        <f aca="false">TEXT('Monthly P&amp;L'!W$5,"yyyy-mm")</f>
        <v>2028-12</v>
      </c>
      <c r="B372" s="2" t="s">
        <v>228</v>
      </c>
      <c r="C372" s="41" t="n">
        <f aca="false">ROUND('Monthly P&amp;L'!W31,0)</f>
        <v>1559</v>
      </c>
      <c r="D372" s="4"/>
      <c r="E372" s="4"/>
    </row>
    <row r="373" customFormat="false" ht="15" hidden="false" customHeight="false" outlineLevel="0" collapsed="false">
      <c r="A373" s="43" t="str">
        <f aca="false">TEXT('Monthly P&amp;L'!W$5,"yyyy-mm")</f>
        <v>2028-12</v>
      </c>
      <c r="B373" s="2" t="s">
        <v>229</v>
      </c>
      <c r="C373" s="41" t="n">
        <f aca="false">ROUND('Monthly P&amp;L'!W32,0)</f>
        <v>1200</v>
      </c>
      <c r="D373" s="4"/>
      <c r="E373" s="4"/>
    </row>
    <row r="374" customFormat="false" ht="15" hidden="false" customHeight="false" outlineLevel="0" collapsed="false">
      <c r="A374" s="43" t="str">
        <f aca="false">TEXT('Monthly P&amp;L'!W$5,"yyyy-mm")</f>
        <v>2028-12</v>
      </c>
      <c r="B374" s="2" t="s">
        <v>230</v>
      </c>
      <c r="C374" s="41" t="n">
        <f aca="false">ROUND('Monthly P&amp;L'!W33,0)</f>
        <v>600</v>
      </c>
      <c r="D374" s="4"/>
      <c r="E374" s="4"/>
    </row>
    <row r="375" customFormat="false" ht="15" hidden="false" customHeight="false" outlineLevel="0" collapsed="false">
      <c r="A375" s="43" t="str">
        <f aca="false">TEXT('Monthly P&amp;L'!W$5,"yyyy-mm")</f>
        <v>2028-12</v>
      </c>
      <c r="B375" s="2" t="s">
        <v>231</v>
      </c>
      <c r="C375" s="41" t="n">
        <f aca="false">ROUND('Monthly P&amp;L'!W34,0)</f>
        <v>647</v>
      </c>
      <c r="D375" s="4"/>
      <c r="E375" s="4"/>
    </row>
    <row r="376" customFormat="false" ht="15" hidden="false" customHeight="false" outlineLevel="0" collapsed="false">
      <c r="A376" s="43" t="str">
        <f aca="false">TEXT('Monthly P&amp;L'!W$5,"yyyy-mm")</f>
        <v>2028-12</v>
      </c>
      <c r="B376" s="2" t="s">
        <v>232</v>
      </c>
      <c r="C376" s="41" t="n">
        <f aca="false">ROUND('Monthly P&amp;L'!W35,0)</f>
        <v>647</v>
      </c>
      <c r="D376" s="4"/>
      <c r="E376" s="4"/>
    </row>
    <row r="377" customFormat="false" ht="15" hidden="false" customHeight="false" outlineLevel="0" collapsed="false">
      <c r="A377" s="43" t="str">
        <f aca="false">TEXT('Monthly P&amp;L'!W$5,"yyyy-mm")</f>
        <v>2028-12</v>
      </c>
      <c r="B377" s="2" t="s">
        <v>233</v>
      </c>
      <c r="C377" s="41" t="n">
        <f aca="false">ROUND('Monthly P&amp;L'!W36,0)</f>
        <v>300</v>
      </c>
      <c r="D377" s="4"/>
      <c r="E377" s="4"/>
    </row>
    <row r="378" customFormat="false" ht="15" hidden="false" customHeight="false" outlineLevel="0" collapsed="false">
      <c r="A378" s="43" t="str">
        <f aca="false">TEXT('Monthly P&amp;L'!W$5,"yyyy-mm")</f>
        <v>2028-12</v>
      </c>
      <c r="B378" s="2" t="s">
        <v>234</v>
      </c>
      <c r="C378" s="41" t="n">
        <f aca="false">ROUND('Monthly P&amp;L'!W40,0)</f>
        <v>560</v>
      </c>
      <c r="D378" s="4"/>
      <c r="E378" s="4"/>
    </row>
    <row r="379" customFormat="false" ht="15" hidden="false" customHeight="false" outlineLevel="0" collapsed="false">
      <c r="A379" s="43" t="str">
        <f aca="false">TEXT('Monthly P&amp;L'!W$5,"yyyy-mm")</f>
        <v>2028-12</v>
      </c>
      <c r="B379" s="2" t="s">
        <v>235</v>
      </c>
      <c r="C379" s="41" t="n">
        <f aca="false">ROUND('Monthly P&amp;L'!W42,0)</f>
        <v>824</v>
      </c>
      <c r="D379" s="4"/>
      <c r="E379" s="4"/>
    </row>
    <row r="380" customFormat="false" ht="15" hidden="false" customHeight="false" outlineLevel="0" collapsed="false">
      <c r="A380" s="43" t="str">
        <f aca="false">TEXT('Monthly P&amp;L'!X$5,"yyyy-mm")</f>
        <v>2029-01</v>
      </c>
      <c r="B380" s="2" t="s">
        <v>218</v>
      </c>
      <c r="C380" s="41" t="n">
        <f aca="false">ROUND('Monthly P&amp;L'!X16,0)</f>
        <v>44044</v>
      </c>
      <c r="D380" s="4"/>
      <c r="E380" s="4"/>
    </row>
    <row r="381" customFormat="false" ht="15" hidden="false" customHeight="false" outlineLevel="0" collapsed="false">
      <c r="A381" s="43" t="str">
        <f aca="false">TEXT('Monthly P&amp;L'!X$5,"yyyy-mm")</f>
        <v>2029-01</v>
      </c>
      <c r="B381" s="2" t="s">
        <v>219</v>
      </c>
      <c r="C381" s="41" t="n">
        <f aca="false">ROUND('Monthly P&amp;L'!X17,0)</f>
        <v>-793</v>
      </c>
      <c r="D381" s="4"/>
      <c r="E381" s="4"/>
    </row>
    <row r="382" customFormat="false" ht="15" hidden="false" customHeight="false" outlineLevel="0" collapsed="false">
      <c r="A382" s="43" t="str">
        <f aca="false">TEXT('Monthly P&amp;L'!X$5,"yyyy-mm")</f>
        <v>2029-01</v>
      </c>
      <c r="B382" s="2" t="s">
        <v>220</v>
      </c>
      <c r="C382" s="41" t="n">
        <f aca="false">ROUND('Monthly P&amp;L'!X18,0)</f>
        <v>5568</v>
      </c>
      <c r="D382" s="4"/>
      <c r="E382" s="4"/>
    </row>
    <row r="383" customFormat="false" ht="15" hidden="false" customHeight="false" outlineLevel="0" collapsed="false">
      <c r="A383" s="43" t="str">
        <f aca="false">TEXT('Monthly P&amp;L'!X$5,"yyyy-mm")</f>
        <v>2029-01</v>
      </c>
      <c r="B383" s="2" t="s">
        <v>221</v>
      </c>
      <c r="C383" s="41" t="n">
        <f aca="false">ROUND('Monthly P&amp;L'!X21,0)</f>
        <v>29950</v>
      </c>
      <c r="D383" s="4"/>
      <c r="E383" s="4"/>
    </row>
    <row r="384" customFormat="false" ht="15" hidden="false" customHeight="false" outlineLevel="0" collapsed="false">
      <c r="A384" s="43" t="str">
        <f aca="false">TEXT('Monthly P&amp;L'!X$5,"yyyy-mm")</f>
        <v>2029-01</v>
      </c>
      <c r="B384" s="2" t="s">
        <v>222</v>
      </c>
      <c r="C384" s="41" t="n">
        <f aca="false">ROUND('Monthly P&amp;L'!X25,0)</f>
        <v>3708</v>
      </c>
      <c r="D384" s="4"/>
      <c r="E384" s="4"/>
    </row>
    <row r="385" customFormat="false" ht="15" hidden="false" customHeight="false" outlineLevel="0" collapsed="false">
      <c r="A385" s="43" t="str">
        <f aca="false">TEXT('Monthly P&amp;L'!X$5,"yyyy-mm")</f>
        <v>2029-01</v>
      </c>
      <c r="B385" s="2" t="s">
        <v>223</v>
      </c>
      <c r="C385" s="41" t="n">
        <f aca="false">ROUND('Monthly P&amp;L'!X26,0)</f>
        <v>900</v>
      </c>
      <c r="D385" s="4"/>
      <c r="E385" s="4"/>
    </row>
    <row r="386" customFormat="false" ht="15" hidden="false" customHeight="false" outlineLevel="0" collapsed="false">
      <c r="A386" s="43" t="str">
        <f aca="false">TEXT('Monthly P&amp;L'!X$5,"yyyy-mm")</f>
        <v>2029-01</v>
      </c>
      <c r="B386" s="2" t="s">
        <v>224</v>
      </c>
      <c r="C386" s="41" t="n">
        <f aca="false">ROUND('Monthly P&amp;L'!X27,0)</f>
        <v>9016</v>
      </c>
      <c r="D386" s="4"/>
      <c r="E386" s="4"/>
    </row>
    <row r="387" customFormat="false" ht="15" hidden="false" customHeight="false" outlineLevel="0" collapsed="false">
      <c r="A387" s="43" t="str">
        <f aca="false">TEXT('Monthly P&amp;L'!X$5,"yyyy-mm")</f>
        <v>2029-01</v>
      </c>
      <c r="B387" s="2" t="s">
        <v>225</v>
      </c>
      <c r="C387" s="41" t="n">
        <f aca="false">ROUND('Monthly P&amp;L'!X28,0)</f>
        <v>650</v>
      </c>
      <c r="D387" s="4"/>
      <c r="E387" s="4"/>
    </row>
    <row r="388" customFormat="false" ht="15" hidden="false" customHeight="false" outlineLevel="0" collapsed="false">
      <c r="A388" s="43" t="str">
        <f aca="false">TEXT('Monthly P&amp;L'!X$5,"yyyy-mm")</f>
        <v>2029-01</v>
      </c>
      <c r="B388" s="2" t="s">
        <v>226</v>
      </c>
      <c r="C388" s="41" t="n">
        <f aca="false">ROUND('Monthly P&amp;L'!X29,0)</f>
        <v>150</v>
      </c>
      <c r="D388" s="4"/>
      <c r="E388" s="4"/>
    </row>
    <row r="389" customFormat="false" ht="15" hidden="false" customHeight="false" outlineLevel="0" collapsed="false">
      <c r="A389" s="43" t="str">
        <f aca="false">TEXT('Monthly P&amp;L'!X$5,"yyyy-mm")</f>
        <v>2029-01</v>
      </c>
      <c r="B389" s="2" t="s">
        <v>227</v>
      </c>
      <c r="C389" s="41" t="n">
        <f aca="false">ROUND('Monthly P&amp;L'!X30,0)</f>
        <v>339</v>
      </c>
      <c r="D389" s="4"/>
      <c r="E389" s="4"/>
    </row>
    <row r="390" customFormat="false" ht="15" hidden="false" customHeight="false" outlineLevel="0" collapsed="false">
      <c r="A390" s="43" t="str">
        <f aca="false">TEXT('Monthly P&amp;L'!X$5,"yyyy-mm")</f>
        <v>2029-01</v>
      </c>
      <c r="B390" s="2" t="s">
        <v>228</v>
      </c>
      <c r="C390" s="41" t="n">
        <f aca="false">ROUND('Monthly P&amp;L'!X31,0)</f>
        <v>1588</v>
      </c>
      <c r="D390" s="4"/>
      <c r="E390" s="4"/>
    </row>
    <row r="391" customFormat="false" ht="15" hidden="false" customHeight="false" outlineLevel="0" collapsed="false">
      <c r="A391" s="43" t="str">
        <f aca="false">TEXT('Monthly P&amp;L'!X$5,"yyyy-mm")</f>
        <v>2029-01</v>
      </c>
      <c r="B391" s="2" t="s">
        <v>229</v>
      </c>
      <c r="C391" s="41" t="n">
        <f aca="false">ROUND('Monthly P&amp;L'!X32,0)</f>
        <v>1200</v>
      </c>
      <c r="D391" s="4"/>
      <c r="E391" s="4"/>
    </row>
    <row r="392" customFormat="false" ht="15" hidden="false" customHeight="false" outlineLevel="0" collapsed="false">
      <c r="A392" s="43" t="str">
        <f aca="false">TEXT('Monthly P&amp;L'!X$5,"yyyy-mm")</f>
        <v>2029-01</v>
      </c>
      <c r="B392" s="2" t="s">
        <v>230</v>
      </c>
      <c r="C392" s="41" t="n">
        <f aca="false">ROUND('Monthly P&amp;L'!X33,0)</f>
        <v>600</v>
      </c>
      <c r="D392" s="4"/>
      <c r="E392" s="4"/>
    </row>
    <row r="393" customFormat="false" ht="15" hidden="false" customHeight="false" outlineLevel="0" collapsed="false">
      <c r="A393" s="43" t="str">
        <f aca="false">TEXT('Monthly P&amp;L'!X$5,"yyyy-mm")</f>
        <v>2029-01</v>
      </c>
      <c r="B393" s="2" t="s">
        <v>231</v>
      </c>
      <c r="C393" s="41" t="n">
        <f aca="false">ROUND('Monthly P&amp;L'!X34,0)</f>
        <v>661</v>
      </c>
      <c r="D393" s="4"/>
      <c r="E393" s="4"/>
    </row>
    <row r="394" customFormat="false" ht="15" hidden="false" customHeight="false" outlineLevel="0" collapsed="false">
      <c r="A394" s="43" t="str">
        <f aca="false">TEXT('Monthly P&amp;L'!X$5,"yyyy-mm")</f>
        <v>2029-01</v>
      </c>
      <c r="B394" s="2" t="s">
        <v>232</v>
      </c>
      <c r="C394" s="41" t="n">
        <f aca="false">ROUND('Monthly P&amp;L'!X35,0)</f>
        <v>661</v>
      </c>
      <c r="D394" s="4"/>
      <c r="E394" s="4"/>
    </row>
    <row r="395" customFormat="false" ht="15" hidden="false" customHeight="false" outlineLevel="0" collapsed="false">
      <c r="A395" s="43" t="str">
        <f aca="false">TEXT('Monthly P&amp;L'!X$5,"yyyy-mm")</f>
        <v>2029-01</v>
      </c>
      <c r="B395" s="2" t="s">
        <v>233</v>
      </c>
      <c r="C395" s="41" t="n">
        <f aca="false">ROUND('Monthly P&amp;L'!X36,0)</f>
        <v>300</v>
      </c>
      <c r="D395" s="4"/>
      <c r="E395" s="4"/>
    </row>
    <row r="396" customFormat="false" ht="15" hidden="false" customHeight="false" outlineLevel="0" collapsed="false">
      <c r="A396" s="43" t="str">
        <f aca="false">TEXT('Monthly P&amp;L'!X$5,"yyyy-mm")</f>
        <v>2029-01</v>
      </c>
      <c r="B396" s="2" t="s">
        <v>234</v>
      </c>
      <c r="C396" s="41" t="n">
        <f aca="false">ROUND('Monthly P&amp;L'!X40,0)</f>
        <v>560</v>
      </c>
      <c r="D396" s="4"/>
      <c r="E396" s="4"/>
    </row>
    <row r="397" customFormat="false" ht="15" hidden="false" customHeight="false" outlineLevel="0" collapsed="false">
      <c r="A397" s="43" t="str">
        <f aca="false">TEXT('Monthly P&amp;L'!X$5,"yyyy-mm")</f>
        <v>2029-01</v>
      </c>
      <c r="B397" s="2" t="s">
        <v>235</v>
      </c>
      <c r="C397" s="41" t="n">
        <f aca="false">ROUND('Monthly P&amp;L'!X42,0)</f>
        <v>819</v>
      </c>
      <c r="D397" s="4"/>
      <c r="E397" s="4"/>
    </row>
    <row r="398" customFormat="false" ht="15" hidden="false" customHeight="false" outlineLevel="0" collapsed="false">
      <c r="A398" s="43" t="str">
        <f aca="false">TEXT('Monthly P&amp;L'!Y$5,"yyyy-mm")</f>
        <v>2029-02</v>
      </c>
      <c r="B398" s="2" t="s">
        <v>218</v>
      </c>
      <c r="C398" s="41" t="n">
        <f aca="false">ROUND('Monthly P&amp;L'!Y16,0)</f>
        <v>44925</v>
      </c>
      <c r="D398" s="4"/>
      <c r="E398" s="4"/>
    </row>
    <row r="399" customFormat="false" ht="15" hidden="false" customHeight="false" outlineLevel="0" collapsed="false">
      <c r="A399" s="43" t="str">
        <f aca="false">TEXT('Monthly P&amp;L'!Y$5,"yyyy-mm")</f>
        <v>2029-02</v>
      </c>
      <c r="B399" s="2" t="s">
        <v>219</v>
      </c>
      <c r="C399" s="41" t="n">
        <f aca="false">ROUND('Monthly P&amp;L'!Y17,0)</f>
        <v>-809</v>
      </c>
      <c r="D399" s="4"/>
      <c r="E399" s="4"/>
    </row>
    <row r="400" customFormat="false" ht="15" hidden="false" customHeight="false" outlineLevel="0" collapsed="false">
      <c r="A400" s="43" t="str">
        <f aca="false">TEXT('Monthly P&amp;L'!Y$5,"yyyy-mm")</f>
        <v>2029-02</v>
      </c>
      <c r="B400" s="2" t="s">
        <v>220</v>
      </c>
      <c r="C400" s="41" t="n">
        <f aca="false">ROUND('Monthly P&amp;L'!Y18,0)</f>
        <v>5568</v>
      </c>
      <c r="D400" s="4"/>
      <c r="E400" s="4"/>
    </row>
    <row r="401" customFormat="false" ht="15" hidden="false" customHeight="false" outlineLevel="0" collapsed="false">
      <c r="A401" s="43" t="str">
        <f aca="false">TEXT('Monthly P&amp;L'!Y$5,"yyyy-mm")</f>
        <v>2029-02</v>
      </c>
      <c r="B401" s="2" t="s">
        <v>221</v>
      </c>
      <c r="C401" s="41" t="n">
        <f aca="false">ROUND('Monthly P&amp;L'!Y21,0)</f>
        <v>30549</v>
      </c>
      <c r="D401" s="4"/>
      <c r="E401" s="4"/>
    </row>
    <row r="402" customFormat="false" ht="15" hidden="false" customHeight="false" outlineLevel="0" collapsed="false">
      <c r="A402" s="43" t="str">
        <f aca="false">TEXT('Monthly P&amp;L'!Y$5,"yyyy-mm")</f>
        <v>2029-02</v>
      </c>
      <c r="B402" s="2" t="s">
        <v>222</v>
      </c>
      <c r="C402" s="41" t="n">
        <f aca="false">ROUND('Monthly P&amp;L'!Y25,0)</f>
        <v>3708</v>
      </c>
      <c r="D402" s="4"/>
      <c r="E402" s="4"/>
    </row>
    <row r="403" customFormat="false" ht="15" hidden="false" customHeight="false" outlineLevel="0" collapsed="false">
      <c r="A403" s="43" t="str">
        <f aca="false">TEXT('Monthly P&amp;L'!Y$5,"yyyy-mm")</f>
        <v>2029-02</v>
      </c>
      <c r="B403" s="2" t="s">
        <v>223</v>
      </c>
      <c r="C403" s="41" t="n">
        <f aca="false">ROUND('Monthly P&amp;L'!Y26,0)</f>
        <v>900</v>
      </c>
      <c r="D403" s="4"/>
      <c r="E403" s="4"/>
    </row>
    <row r="404" customFormat="false" ht="15" hidden="false" customHeight="false" outlineLevel="0" collapsed="false">
      <c r="A404" s="43" t="str">
        <f aca="false">TEXT('Monthly P&amp;L'!Y$5,"yyyy-mm")</f>
        <v>2029-02</v>
      </c>
      <c r="B404" s="2" t="s">
        <v>224</v>
      </c>
      <c r="C404" s="41" t="n">
        <f aca="false">ROUND('Monthly P&amp;L'!Y27,0)</f>
        <v>9016</v>
      </c>
      <c r="D404" s="4"/>
      <c r="E404" s="4"/>
    </row>
    <row r="405" customFormat="false" ht="15" hidden="false" customHeight="false" outlineLevel="0" collapsed="false">
      <c r="A405" s="43" t="str">
        <f aca="false">TEXT('Monthly P&amp;L'!Y$5,"yyyy-mm")</f>
        <v>2029-02</v>
      </c>
      <c r="B405" s="2" t="s">
        <v>225</v>
      </c>
      <c r="C405" s="41" t="n">
        <f aca="false">ROUND('Monthly P&amp;L'!Y28,0)</f>
        <v>650</v>
      </c>
      <c r="D405" s="4"/>
      <c r="E405" s="4"/>
    </row>
    <row r="406" customFormat="false" ht="15" hidden="false" customHeight="false" outlineLevel="0" collapsed="false">
      <c r="A406" s="43" t="str">
        <f aca="false">TEXT('Monthly P&amp;L'!Y$5,"yyyy-mm")</f>
        <v>2029-02</v>
      </c>
      <c r="B406" s="2" t="s">
        <v>226</v>
      </c>
      <c r="C406" s="41" t="n">
        <f aca="false">ROUND('Monthly P&amp;L'!Y29,0)</f>
        <v>150</v>
      </c>
      <c r="D406" s="4"/>
      <c r="E406" s="4"/>
    </row>
    <row r="407" customFormat="false" ht="15" hidden="false" customHeight="false" outlineLevel="0" collapsed="false">
      <c r="A407" s="43" t="str">
        <f aca="false">TEXT('Monthly P&amp;L'!Y$5,"yyyy-mm")</f>
        <v>2029-02</v>
      </c>
      <c r="B407" s="2" t="s">
        <v>227</v>
      </c>
      <c r="C407" s="41" t="n">
        <f aca="false">ROUND('Monthly P&amp;L'!Y30,0)</f>
        <v>342</v>
      </c>
      <c r="D407" s="4"/>
      <c r="E407" s="4"/>
    </row>
    <row r="408" customFormat="false" ht="15" hidden="false" customHeight="false" outlineLevel="0" collapsed="false">
      <c r="A408" s="43" t="str">
        <f aca="false">TEXT('Monthly P&amp;L'!Y$5,"yyyy-mm")</f>
        <v>2029-02</v>
      </c>
      <c r="B408" s="2" t="s">
        <v>228</v>
      </c>
      <c r="C408" s="41" t="n">
        <f aca="false">ROUND('Monthly P&amp;L'!Y31,0)</f>
        <v>1616</v>
      </c>
      <c r="D408" s="4"/>
      <c r="E408" s="4"/>
    </row>
    <row r="409" customFormat="false" ht="15" hidden="false" customHeight="false" outlineLevel="0" collapsed="false">
      <c r="A409" s="43" t="str">
        <f aca="false">TEXT('Monthly P&amp;L'!Y$5,"yyyy-mm")</f>
        <v>2029-02</v>
      </c>
      <c r="B409" s="2" t="s">
        <v>229</v>
      </c>
      <c r="C409" s="41" t="n">
        <f aca="false">ROUND('Monthly P&amp;L'!Y32,0)</f>
        <v>1200</v>
      </c>
      <c r="D409" s="4"/>
      <c r="E409" s="4"/>
    </row>
    <row r="410" customFormat="false" ht="15" hidden="false" customHeight="false" outlineLevel="0" collapsed="false">
      <c r="A410" s="43" t="str">
        <f aca="false">TEXT('Monthly P&amp;L'!Y$5,"yyyy-mm")</f>
        <v>2029-02</v>
      </c>
      <c r="B410" s="2" t="s">
        <v>230</v>
      </c>
      <c r="C410" s="41" t="n">
        <f aca="false">ROUND('Monthly P&amp;L'!Y33,0)</f>
        <v>600</v>
      </c>
      <c r="D410" s="4"/>
      <c r="E410" s="4"/>
    </row>
    <row r="411" customFormat="false" ht="15" hidden="false" customHeight="false" outlineLevel="0" collapsed="false">
      <c r="A411" s="43" t="str">
        <f aca="false">TEXT('Monthly P&amp;L'!Y$5,"yyyy-mm")</f>
        <v>2029-02</v>
      </c>
      <c r="B411" s="2" t="s">
        <v>231</v>
      </c>
      <c r="C411" s="41" t="n">
        <f aca="false">ROUND('Monthly P&amp;L'!Y34,0)</f>
        <v>674</v>
      </c>
      <c r="D411" s="4"/>
      <c r="E411" s="4"/>
    </row>
    <row r="412" customFormat="false" ht="15" hidden="false" customHeight="false" outlineLevel="0" collapsed="false">
      <c r="A412" s="43" t="str">
        <f aca="false">TEXT('Monthly P&amp;L'!Y$5,"yyyy-mm")</f>
        <v>2029-02</v>
      </c>
      <c r="B412" s="2" t="s">
        <v>232</v>
      </c>
      <c r="C412" s="41" t="n">
        <f aca="false">ROUND('Monthly P&amp;L'!Y35,0)</f>
        <v>674</v>
      </c>
      <c r="D412" s="4"/>
      <c r="E412" s="4"/>
    </row>
    <row r="413" customFormat="false" ht="15" hidden="false" customHeight="false" outlineLevel="0" collapsed="false">
      <c r="A413" s="43" t="str">
        <f aca="false">TEXT('Monthly P&amp;L'!Y$5,"yyyy-mm")</f>
        <v>2029-02</v>
      </c>
      <c r="B413" s="2" t="s">
        <v>233</v>
      </c>
      <c r="C413" s="41" t="n">
        <f aca="false">ROUND('Monthly P&amp;L'!Y36,0)</f>
        <v>300</v>
      </c>
      <c r="D413" s="4"/>
      <c r="E413" s="4"/>
    </row>
    <row r="414" customFormat="false" ht="15" hidden="false" customHeight="false" outlineLevel="0" collapsed="false">
      <c r="A414" s="43" t="str">
        <f aca="false">TEXT('Monthly P&amp;L'!Y$5,"yyyy-mm")</f>
        <v>2029-02</v>
      </c>
      <c r="B414" s="2" t="s">
        <v>234</v>
      </c>
      <c r="C414" s="41" t="n">
        <f aca="false">ROUND('Monthly P&amp;L'!Y40,0)</f>
        <v>560</v>
      </c>
      <c r="D414" s="4"/>
      <c r="E414" s="4"/>
    </row>
    <row r="415" customFormat="false" ht="15" hidden="false" customHeight="false" outlineLevel="0" collapsed="false">
      <c r="A415" s="43" t="str">
        <f aca="false">TEXT('Monthly P&amp;L'!Y$5,"yyyy-mm")</f>
        <v>2029-02</v>
      </c>
      <c r="B415" s="2" t="s">
        <v>235</v>
      </c>
      <c r="C415" s="41" t="n">
        <f aca="false">ROUND('Monthly P&amp;L'!Y42,0)</f>
        <v>814</v>
      </c>
      <c r="D415" s="4"/>
      <c r="E415" s="4"/>
    </row>
    <row r="416" customFormat="false" ht="15" hidden="false" customHeight="false" outlineLevel="0" collapsed="false">
      <c r="A416" s="43" t="str">
        <f aca="false">TEXT('Monthly P&amp;L'!Z$5,"yyyy-mm")</f>
        <v>2029-03</v>
      </c>
      <c r="B416" s="2" t="s">
        <v>218</v>
      </c>
      <c r="C416" s="41" t="n">
        <f aca="false">ROUND('Monthly P&amp;L'!Z16,0)</f>
        <v>45787</v>
      </c>
      <c r="D416" s="4"/>
      <c r="E416" s="4"/>
    </row>
    <row r="417" customFormat="false" ht="15" hidden="false" customHeight="false" outlineLevel="0" collapsed="false">
      <c r="A417" s="43" t="str">
        <f aca="false">TEXT('Monthly P&amp;L'!Z$5,"yyyy-mm")</f>
        <v>2029-03</v>
      </c>
      <c r="B417" s="2" t="s">
        <v>219</v>
      </c>
      <c r="C417" s="41" t="n">
        <f aca="false">ROUND('Monthly P&amp;L'!Z17,0)</f>
        <v>-824</v>
      </c>
      <c r="D417" s="4"/>
      <c r="E417" s="4"/>
    </row>
    <row r="418" customFormat="false" ht="15" hidden="false" customHeight="false" outlineLevel="0" collapsed="false">
      <c r="A418" s="43" t="str">
        <f aca="false">TEXT('Monthly P&amp;L'!Z$5,"yyyy-mm")</f>
        <v>2029-03</v>
      </c>
      <c r="B418" s="2" t="s">
        <v>220</v>
      </c>
      <c r="C418" s="41" t="n">
        <f aca="false">ROUND('Monthly P&amp;L'!Z18,0)</f>
        <v>5568</v>
      </c>
      <c r="D418" s="4"/>
      <c r="E418" s="4"/>
    </row>
    <row r="419" customFormat="false" ht="15" hidden="false" customHeight="false" outlineLevel="0" collapsed="false">
      <c r="A419" s="43" t="str">
        <f aca="false">TEXT('Monthly P&amp;L'!Z$5,"yyyy-mm")</f>
        <v>2029-03</v>
      </c>
      <c r="B419" s="2" t="s">
        <v>221</v>
      </c>
      <c r="C419" s="41" t="n">
        <f aca="false">ROUND('Monthly P&amp;L'!Z21,0)</f>
        <v>31135</v>
      </c>
      <c r="D419" s="4"/>
      <c r="E419" s="4"/>
    </row>
    <row r="420" customFormat="false" ht="15" hidden="false" customHeight="false" outlineLevel="0" collapsed="false">
      <c r="A420" s="43" t="str">
        <f aca="false">TEXT('Monthly P&amp;L'!Z$5,"yyyy-mm")</f>
        <v>2029-03</v>
      </c>
      <c r="B420" s="2" t="s">
        <v>222</v>
      </c>
      <c r="C420" s="41" t="n">
        <f aca="false">ROUND('Monthly P&amp;L'!Z25,0)</f>
        <v>3708</v>
      </c>
      <c r="D420" s="4"/>
      <c r="E420" s="4"/>
    </row>
    <row r="421" customFormat="false" ht="15" hidden="false" customHeight="false" outlineLevel="0" collapsed="false">
      <c r="A421" s="43" t="str">
        <f aca="false">TEXT('Monthly P&amp;L'!Z$5,"yyyy-mm")</f>
        <v>2029-03</v>
      </c>
      <c r="B421" s="2" t="s">
        <v>223</v>
      </c>
      <c r="C421" s="41" t="n">
        <f aca="false">ROUND('Monthly P&amp;L'!Z26,0)</f>
        <v>900</v>
      </c>
      <c r="D421" s="4"/>
      <c r="E421" s="4"/>
    </row>
    <row r="422" customFormat="false" ht="15" hidden="false" customHeight="false" outlineLevel="0" collapsed="false">
      <c r="A422" s="43" t="str">
        <f aca="false">TEXT('Monthly P&amp;L'!Z$5,"yyyy-mm")</f>
        <v>2029-03</v>
      </c>
      <c r="B422" s="2" t="s">
        <v>224</v>
      </c>
      <c r="C422" s="41" t="n">
        <f aca="false">ROUND('Monthly P&amp;L'!Z27,0)</f>
        <v>9016</v>
      </c>
      <c r="D422" s="4"/>
      <c r="E422" s="4"/>
    </row>
    <row r="423" customFormat="false" ht="15" hidden="false" customHeight="false" outlineLevel="0" collapsed="false">
      <c r="A423" s="43" t="str">
        <f aca="false">TEXT('Monthly P&amp;L'!Z$5,"yyyy-mm")</f>
        <v>2029-03</v>
      </c>
      <c r="B423" s="2" t="s">
        <v>225</v>
      </c>
      <c r="C423" s="41" t="n">
        <f aca="false">ROUND('Monthly P&amp;L'!Z28,0)</f>
        <v>650</v>
      </c>
      <c r="D423" s="4"/>
      <c r="E423" s="4"/>
    </row>
    <row r="424" customFormat="false" ht="15" hidden="false" customHeight="false" outlineLevel="0" collapsed="false">
      <c r="A424" s="43" t="str">
        <f aca="false">TEXT('Monthly P&amp;L'!Z$5,"yyyy-mm")</f>
        <v>2029-03</v>
      </c>
      <c r="B424" s="2" t="s">
        <v>226</v>
      </c>
      <c r="C424" s="41" t="n">
        <f aca="false">ROUND('Monthly P&amp;L'!Z29,0)</f>
        <v>150</v>
      </c>
      <c r="D424" s="4"/>
      <c r="E424" s="4"/>
    </row>
    <row r="425" customFormat="false" ht="15" hidden="false" customHeight="false" outlineLevel="0" collapsed="false">
      <c r="A425" s="43" t="str">
        <f aca="false">TEXT('Monthly P&amp;L'!Z$5,"yyyy-mm")</f>
        <v>2029-03</v>
      </c>
      <c r="B425" s="2" t="s">
        <v>227</v>
      </c>
      <c r="C425" s="41" t="n">
        <f aca="false">ROUND('Monthly P&amp;L'!Z30,0)</f>
        <v>344</v>
      </c>
      <c r="D425" s="4"/>
      <c r="E425" s="4"/>
    </row>
    <row r="426" customFormat="false" ht="15" hidden="false" customHeight="false" outlineLevel="0" collapsed="false">
      <c r="A426" s="43" t="str">
        <f aca="false">TEXT('Monthly P&amp;L'!Z$5,"yyyy-mm")</f>
        <v>2029-03</v>
      </c>
      <c r="B426" s="2" t="s">
        <v>228</v>
      </c>
      <c r="C426" s="41" t="n">
        <f aca="false">ROUND('Monthly P&amp;L'!Z31,0)</f>
        <v>1643</v>
      </c>
      <c r="D426" s="4"/>
      <c r="E426" s="4"/>
    </row>
    <row r="427" customFormat="false" ht="15" hidden="false" customHeight="false" outlineLevel="0" collapsed="false">
      <c r="A427" s="43" t="str">
        <f aca="false">TEXT('Monthly P&amp;L'!Z$5,"yyyy-mm")</f>
        <v>2029-03</v>
      </c>
      <c r="B427" s="2" t="s">
        <v>229</v>
      </c>
      <c r="C427" s="41" t="n">
        <f aca="false">ROUND('Monthly P&amp;L'!Z32,0)</f>
        <v>1200</v>
      </c>
      <c r="D427" s="4"/>
      <c r="E427" s="4"/>
    </row>
    <row r="428" customFormat="false" ht="15" hidden="false" customHeight="false" outlineLevel="0" collapsed="false">
      <c r="A428" s="43" t="str">
        <f aca="false">TEXT('Monthly P&amp;L'!Z$5,"yyyy-mm")</f>
        <v>2029-03</v>
      </c>
      <c r="B428" s="2" t="s">
        <v>230</v>
      </c>
      <c r="C428" s="41" t="n">
        <f aca="false">ROUND('Monthly P&amp;L'!Z33,0)</f>
        <v>600</v>
      </c>
      <c r="D428" s="4"/>
      <c r="E428" s="4"/>
    </row>
    <row r="429" customFormat="false" ht="15" hidden="false" customHeight="false" outlineLevel="0" collapsed="false">
      <c r="A429" s="43" t="str">
        <f aca="false">TEXT('Monthly P&amp;L'!Z$5,"yyyy-mm")</f>
        <v>2029-03</v>
      </c>
      <c r="B429" s="2" t="s">
        <v>231</v>
      </c>
      <c r="C429" s="41" t="n">
        <f aca="false">ROUND('Monthly P&amp;L'!Z34,0)</f>
        <v>687</v>
      </c>
      <c r="D429" s="4"/>
      <c r="E429" s="4"/>
    </row>
    <row r="430" customFormat="false" ht="15" hidden="false" customHeight="false" outlineLevel="0" collapsed="false">
      <c r="A430" s="43" t="str">
        <f aca="false">TEXT('Monthly P&amp;L'!Z$5,"yyyy-mm")</f>
        <v>2029-03</v>
      </c>
      <c r="B430" s="2" t="s">
        <v>232</v>
      </c>
      <c r="C430" s="41" t="n">
        <f aca="false">ROUND('Monthly P&amp;L'!Z35,0)</f>
        <v>687</v>
      </c>
      <c r="D430" s="4"/>
      <c r="E430" s="4"/>
    </row>
    <row r="431" customFormat="false" ht="15" hidden="false" customHeight="false" outlineLevel="0" collapsed="false">
      <c r="A431" s="43" t="str">
        <f aca="false">TEXT('Monthly P&amp;L'!Z$5,"yyyy-mm")</f>
        <v>2029-03</v>
      </c>
      <c r="B431" s="2" t="s">
        <v>233</v>
      </c>
      <c r="C431" s="41" t="n">
        <f aca="false">ROUND('Monthly P&amp;L'!Z36,0)</f>
        <v>300</v>
      </c>
      <c r="D431" s="4"/>
      <c r="E431" s="4"/>
    </row>
    <row r="432" customFormat="false" ht="15" hidden="false" customHeight="false" outlineLevel="0" collapsed="false">
      <c r="A432" s="43" t="str">
        <f aca="false">TEXT('Monthly P&amp;L'!Z$5,"yyyy-mm")</f>
        <v>2029-03</v>
      </c>
      <c r="B432" s="2" t="s">
        <v>234</v>
      </c>
      <c r="C432" s="41" t="n">
        <f aca="false">ROUND('Monthly P&amp;L'!Z40,0)</f>
        <v>560</v>
      </c>
      <c r="D432" s="4"/>
      <c r="E432" s="4"/>
    </row>
    <row r="433" customFormat="false" ht="15" hidden="false" customHeight="false" outlineLevel="0" collapsed="false">
      <c r="A433" s="43" t="str">
        <f aca="false">TEXT('Monthly P&amp;L'!Z$5,"yyyy-mm")</f>
        <v>2029-03</v>
      </c>
      <c r="B433" s="2" t="s">
        <v>235</v>
      </c>
      <c r="C433" s="41" t="n">
        <f aca="false">ROUND('Monthly P&amp;L'!Z42,0)</f>
        <v>809</v>
      </c>
      <c r="D433" s="4"/>
      <c r="E433" s="4"/>
    </row>
    <row r="434" customFormat="false" ht="15" hidden="false" customHeight="false" outlineLevel="0" collapsed="false">
      <c r="A434" s="43" t="str">
        <f aca="false">TEXT('Monthly P&amp;L'!AA$5,"yyyy-mm")</f>
        <v>2029-04</v>
      </c>
      <c r="B434" s="2" t="s">
        <v>218</v>
      </c>
      <c r="C434" s="41" t="n">
        <f aca="false">ROUND('Monthly P&amp;L'!AA16,0)</f>
        <v>48872</v>
      </c>
      <c r="D434" s="4"/>
      <c r="E434" s="4"/>
    </row>
    <row r="435" customFormat="false" ht="15" hidden="false" customHeight="false" outlineLevel="0" collapsed="false">
      <c r="A435" s="43" t="str">
        <f aca="false">TEXT('Monthly P&amp;L'!AA$5,"yyyy-mm")</f>
        <v>2029-04</v>
      </c>
      <c r="B435" s="2" t="s">
        <v>219</v>
      </c>
      <c r="C435" s="41" t="n">
        <f aca="false">ROUND('Monthly P&amp;L'!AA17,0)</f>
        <v>-880</v>
      </c>
      <c r="D435" s="4"/>
      <c r="E435" s="4"/>
    </row>
    <row r="436" customFormat="false" ht="15" hidden="false" customHeight="false" outlineLevel="0" collapsed="false">
      <c r="A436" s="43" t="str">
        <f aca="false">TEXT('Monthly P&amp;L'!AA$5,"yyyy-mm")</f>
        <v>2029-04</v>
      </c>
      <c r="B436" s="2" t="s">
        <v>220</v>
      </c>
      <c r="C436" s="41" t="n">
        <f aca="false">ROUND('Monthly P&amp;L'!AA18,0)</f>
        <v>19862</v>
      </c>
      <c r="D436" s="4"/>
      <c r="E436" s="4"/>
    </row>
    <row r="437" customFormat="false" ht="15" hidden="false" customHeight="false" outlineLevel="0" collapsed="false">
      <c r="A437" s="43" t="str">
        <f aca="false">TEXT('Monthly P&amp;L'!AA$5,"yyyy-mm")</f>
        <v>2029-04</v>
      </c>
      <c r="B437" s="2" t="s">
        <v>221</v>
      </c>
      <c r="C437" s="41" t="n">
        <f aca="false">ROUND('Monthly P&amp;L'!AA21,0)</f>
        <v>33233</v>
      </c>
      <c r="D437" s="4"/>
      <c r="E437" s="4"/>
    </row>
    <row r="438" customFormat="false" ht="15" hidden="false" customHeight="false" outlineLevel="0" collapsed="false">
      <c r="A438" s="43" t="str">
        <f aca="false">TEXT('Monthly P&amp;L'!AA$5,"yyyy-mm")</f>
        <v>2029-04</v>
      </c>
      <c r="B438" s="2" t="s">
        <v>222</v>
      </c>
      <c r="C438" s="41" t="n">
        <f aca="false">ROUND('Monthly P&amp;L'!AA25,0)</f>
        <v>3819</v>
      </c>
      <c r="D438" s="4"/>
      <c r="E438" s="4"/>
    </row>
    <row r="439" customFormat="false" ht="15" hidden="false" customHeight="false" outlineLevel="0" collapsed="false">
      <c r="A439" s="43" t="str">
        <f aca="false">TEXT('Monthly P&amp;L'!AA$5,"yyyy-mm")</f>
        <v>2029-04</v>
      </c>
      <c r="B439" s="2" t="s">
        <v>223</v>
      </c>
      <c r="C439" s="41" t="n">
        <f aca="false">ROUND('Monthly P&amp;L'!AA26,0)</f>
        <v>900</v>
      </c>
      <c r="D439" s="4"/>
      <c r="E439" s="4"/>
    </row>
    <row r="440" customFormat="false" ht="15" hidden="false" customHeight="false" outlineLevel="0" collapsed="false">
      <c r="A440" s="43" t="str">
        <f aca="false">TEXT('Monthly P&amp;L'!AA$5,"yyyy-mm")</f>
        <v>2029-04</v>
      </c>
      <c r="B440" s="2" t="s">
        <v>224</v>
      </c>
      <c r="C440" s="41" t="n">
        <f aca="false">ROUND('Monthly P&amp;L'!AA27,0)</f>
        <v>9016</v>
      </c>
      <c r="D440" s="4"/>
      <c r="E440" s="4"/>
    </row>
    <row r="441" customFormat="false" ht="15" hidden="false" customHeight="false" outlineLevel="0" collapsed="false">
      <c r="A441" s="43" t="str">
        <f aca="false">TEXT('Monthly P&amp;L'!AA$5,"yyyy-mm")</f>
        <v>2029-04</v>
      </c>
      <c r="B441" s="2" t="s">
        <v>225</v>
      </c>
      <c r="C441" s="41" t="n">
        <f aca="false">ROUND('Monthly P&amp;L'!AA28,0)</f>
        <v>650</v>
      </c>
      <c r="D441" s="4"/>
      <c r="E441" s="4"/>
    </row>
    <row r="442" customFormat="false" ht="15" hidden="false" customHeight="false" outlineLevel="0" collapsed="false">
      <c r="A442" s="43" t="str">
        <f aca="false">TEXT('Monthly P&amp;L'!AA$5,"yyyy-mm")</f>
        <v>2029-04</v>
      </c>
      <c r="B442" s="2" t="s">
        <v>226</v>
      </c>
      <c r="C442" s="41" t="n">
        <f aca="false">ROUND('Monthly P&amp;L'!AA29,0)</f>
        <v>150</v>
      </c>
      <c r="D442" s="4"/>
      <c r="E442" s="4"/>
    </row>
    <row r="443" customFormat="false" ht="15" hidden="false" customHeight="false" outlineLevel="0" collapsed="false">
      <c r="A443" s="43" t="str">
        <f aca="false">TEXT('Monthly P&amp;L'!AA$5,"yyyy-mm")</f>
        <v>2029-04</v>
      </c>
      <c r="B443" s="2" t="s">
        <v>227</v>
      </c>
      <c r="C443" s="41" t="n">
        <f aca="false">ROUND('Monthly P&amp;L'!AA30,0)</f>
        <v>345</v>
      </c>
      <c r="D443" s="4"/>
      <c r="E443" s="4"/>
    </row>
    <row r="444" customFormat="false" ht="15" hidden="false" customHeight="false" outlineLevel="0" collapsed="false">
      <c r="A444" s="43" t="str">
        <f aca="false">TEXT('Monthly P&amp;L'!AA$5,"yyyy-mm")</f>
        <v>2029-04</v>
      </c>
      <c r="B444" s="2" t="s">
        <v>228</v>
      </c>
      <c r="C444" s="41" t="n">
        <f aca="false">ROUND('Monthly P&amp;L'!AA31,0)</f>
        <v>2200</v>
      </c>
      <c r="D444" s="4"/>
      <c r="E444" s="4"/>
    </row>
    <row r="445" customFormat="false" ht="15" hidden="false" customHeight="false" outlineLevel="0" collapsed="false">
      <c r="A445" s="43" t="str">
        <f aca="false">TEXT('Monthly P&amp;L'!AA$5,"yyyy-mm")</f>
        <v>2029-04</v>
      </c>
      <c r="B445" s="2" t="s">
        <v>229</v>
      </c>
      <c r="C445" s="41" t="n">
        <f aca="false">ROUND('Monthly P&amp;L'!AA32,0)</f>
        <v>1000</v>
      </c>
      <c r="D445" s="4"/>
      <c r="E445" s="4"/>
    </row>
    <row r="446" customFormat="false" ht="15" hidden="false" customHeight="false" outlineLevel="0" collapsed="false">
      <c r="A446" s="43" t="str">
        <f aca="false">TEXT('Monthly P&amp;L'!AA$5,"yyyy-mm")</f>
        <v>2029-04</v>
      </c>
      <c r="B446" s="2" t="s">
        <v>230</v>
      </c>
      <c r="C446" s="41" t="n">
        <f aca="false">ROUND('Monthly P&amp;L'!AA33,0)</f>
        <v>600</v>
      </c>
      <c r="D446" s="4"/>
      <c r="E446" s="4"/>
    </row>
    <row r="447" customFormat="false" ht="15" hidden="false" customHeight="false" outlineLevel="0" collapsed="false">
      <c r="A447" s="43" t="str">
        <f aca="false">TEXT('Monthly P&amp;L'!AA$5,"yyyy-mm")</f>
        <v>2029-04</v>
      </c>
      <c r="B447" s="2" t="s">
        <v>231</v>
      </c>
      <c r="C447" s="41" t="n">
        <f aca="false">ROUND('Monthly P&amp;L'!AA34,0)</f>
        <v>733</v>
      </c>
      <c r="D447" s="4"/>
      <c r="E447" s="4"/>
    </row>
    <row r="448" customFormat="false" ht="15" hidden="false" customHeight="false" outlineLevel="0" collapsed="false">
      <c r="A448" s="43" t="str">
        <f aca="false">TEXT('Monthly P&amp;L'!AA$5,"yyyy-mm")</f>
        <v>2029-04</v>
      </c>
      <c r="B448" s="2" t="s">
        <v>232</v>
      </c>
      <c r="C448" s="41" t="n">
        <f aca="false">ROUND('Monthly P&amp;L'!AA35,0)</f>
        <v>733</v>
      </c>
      <c r="D448" s="4"/>
      <c r="E448" s="4"/>
    </row>
    <row r="449" customFormat="false" ht="15" hidden="false" customHeight="false" outlineLevel="0" collapsed="false">
      <c r="A449" s="43" t="str">
        <f aca="false">TEXT('Monthly P&amp;L'!AA$5,"yyyy-mm")</f>
        <v>2029-04</v>
      </c>
      <c r="B449" s="2" t="s">
        <v>233</v>
      </c>
      <c r="C449" s="41" t="n">
        <f aca="false">ROUND('Monthly P&amp;L'!AA36,0)</f>
        <v>300</v>
      </c>
      <c r="D449" s="4"/>
      <c r="E449" s="4"/>
    </row>
    <row r="450" customFormat="false" ht="15" hidden="false" customHeight="false" outlineLevel="0" collapsed="false">
      <c r="A450" s="43" t="str">
        <f aca="false">TEXT('Monthly P&amp;L'!AA$5,"yyyy-mm")</f>
        <v>2029-04</v>
      </c>
      <c r="B450" s="2" t="s">
        <v>234</v>
      </c>
      <c r="C450" s="41" t="n">
        <f aca="false">ROUND('Monthly P&amp;L'!AA40,0)</f>
        <v>560</v>
      </c>
      <c r="D450" s="4"/>
      <c r="E450" s="4"/>
    </row>
    <row r="451" customFormat="false" ht="15" hidden="false" customHeight="false" outlineLevel="0" collapsed="false">
      <c r="A451" s="43" t="str">
        <f aca="false">TEXT('Monthly P&amp;L'!AA$5,"yyyy-mm")</f>
        <v>2029-04</v>
      </c>
      <c r="B451" s="2" t="s">
        <v>235</v>
      </c>
      <c r="C451" s="41" t="n">
        <f aca="false">ROUND('Monthly P&amp;L'!AA42,0)</f>
        <v>804</v>
      </c>
      <c r="D451" s="4"/>
      <c r="E451" s="4"/>
    </row>
    <row r="452" customFormat="false" ht="15" hidden="false" customHeight="false" outlineLevel="0" collapsed="false">
      <c r="A452" s="43" t="str">
        <f aca="false">TEXT('Monthly P&amp;L'!AB$5,"yyyy-mm")</f>
        <v>2029-05</v>
      </c>
      <c r="B452" s="2" t="s">
        <v>218</v>
      </c>
      <c r="C452" s="41" t="n">
        <f aca="false">ROUND('Monthly P&amp;L'!AB16,0)</f>
        <v>49255</v>
      </c>
      <c r="D452" s="4"/>
      <c r="E452" s="4"/>
    </row>
    <row r="453" customFormat="false" ht="15" hidden="false" customHeight="false" outlineLevel="0" collapsed="false">
      <c r="A453" s="43" t="str">
        <f aca="false">TEXT('Monthly P&amp;L'!AB$5,"yyyy-mm")</f>
        <v>2029-05</v>
      </c>
      <c r="B453" s="2" t="s">
        <v>219</v>
      </c>
      <c r="C453" s="41" t="n">
        <f aca="false">ROUND('Monthly P&amp;L'!AB17,0)</f>
        <v>-887</v>
      </c>
      <c r="D453" s="4"/>
      <c r="E453" s="4"/>
    </row>
    <row r="454" customFormat="false" ht="15" hidden="false" customHeight="false" outlineLevel="0" collapsed="false">
      <c r="A454" s="43" t="str">
        <f aca="false">TEXT('Monthly P&amp;L'!AB$5,"yyyy-mm")</f>
        <v>2029-05</v>
      </c>
      <c r="B454" s="2" t="s">
        <v>220</v>
      </c>
      <c r="C454" s="41" t="n">
        <f aca="false">ROUND('Monthly P&amp;L'!AB18,0)</f>
        <v>7444</v>
      </c>
      <c r="D454" s="4"/>
      <c r="E454" s="4"/>
    </row>
    <row r="455" customFormat="false" ht="15" hidden="false" customHeight="false" outlineLevel="0" collapsed="false">
      <c r="A455" s="43" t="str">
        <f aca="false">TEXT('Monthly P&amp;L'!AB$5,"yyyy-mm")</f>
        <v>2029-05</v>
      </c>
      <c r="B455" s="2" t="s">
        <v>221</v>
      </c>
      <c r="C455" s="41" t="n">
        <f aca="false">ROUND('Monthly P&amp;L'!AB21,0)</f>
        <v>33494</v>
      </c>
      <c r="D455" s="4"/>
      <c r="E455" s="4"/>
    </row>
    <row r="456" customFormat="false" ht="15" hidden="false" customHeight="false" outlineLevel="0" collapsed="false">
      <c r="A456" s="43" t="str">
        <f aca="false">TEXT('Monthly P&amp;L'!AB$5,"yyyy-mm")</f>
        <v>2029-05</v>
      </c>
      <c r="B456" s="2" t="s">
        <v>222</v>
      </c>
      <c r="C456" s="41" t="n">
        <f aca="false">ROUND('Monthly P&amp;L'!AB25,0)</f>
        <v>3819</v>
      </c>
      <c r="D456" s="4"/>
      <c r="E456" s="4"/>
    </row>
    <row r="457" customFormat="false" ht="15" hidden="false" customHeight="false" outlineLevel="0" collapsed="false">
      <c r="A457" s="43" t="str">
        <f aca="false">TEXT('Monthly P&amp;L'!AB$5,"yyyy-mm")</f>
        <v>2029-05</v>
      </c>
      <c r="B457" s="2" t="s">
        <v>223</v>
      </c>
      <c r="C457" s="41" t="n">
        <f aca="false">ROUND('Monthly P&amp;L'!AB26,0)</f>
        <v>900</v>
      </c>
      <c r="D457" s="4"/>
      <c r="E457" s="4"/>
    </row>
    <row r="458" customFormat="false" ht="15" hidden="false" customHeight="false" outlineLevel="0" collapsed="false">
      <c r="A458" s="43" t="str">
        <f aca="false">TEXT('Monthly P&amp;L'!AB$5,"yyyy-mm")</f>
        <v>2029-05</v>
      </c>
      <c r="B458" s="2" t="s">
        <v>224</v>
      </c>
      <c r="C458" s="41" t="n">
        <f aca="false">ROUND('Monthly P&amp;L'!AB27,0)</f>
        <v>9016</v>
      </c>
      <c r="D458" s="4"/>
      <c r="E458" s="4"/>
    </row>
    <row r="459" customFormat="false" ht="15" hidden="false" customHeight="false" outlineLevel="0" collapsed="false">
      <c r="A459" s="43" t="str">
        <f aca="false">TEXT('Monthly P&amp;L'!AB$5,"yyyy-mm")</f>
        <v>2029-05</v>
      </c>
      <c r="B459" s="2" t="s">
        <v>225</v>
      </c>
      <c r="C459" s="41" t="n">
        <f aca="false">ROUND('Monthly P&amp;L'!AB28,0)</f>
        <v>650</v>
      </c>
      <c r="D459" s="4"/>
      <c r="E459" s="4"/>
    </row>
    <row r="460" customFormat="false" ht="15" hidden="false" customHeight="false" outlineLevel="0" collapsed="false">
      <c r="A460" s="43" t="str">
        <f aca="false">TEXT('Monthly P&amp;L'!AB$5,"yyyy-mm")</f>
        <v>2029-05</v>
      </c>
      <c r="B460" s="2" t="s">
        <v>226</v>
      </c>
      <c r="C460" s="41" t="n">
        <f aca="false">ROUND('Monthly P&amp;L'!AB29,0)</f>
        <v>150</v>
      </c>
      <c r="D460" s="4"/>
      <c r="E460" s="4"/>
    </row>
    <row r="461" customFormat="false" ht="15" hidden="false" customHeight="false" outlineLevel="0" collapsed="false">
      <c r="A461" s="43" t="str">
        <f aca="false">TEXT('Monthly P&amp;L'!AB$5,"yyyy-mm")</f>
        <v>2029-05</v>
      </c>
      <c r="B461" s="2" t="s">
        <v>227</v>
      </c>
      <c r="C461" s="41" t="n">
        <f aca="false">ROUND('Monthly P&amp;L'!AB30,0)</f>
        <v>347</v>
      </c>
      <c r="D461" s="4"/>
      <c r="E461" s="4"/>
    </row>
    <row r="462" customFormat="false" ht="15" hidden="false" customHeight="false" outlineLevel="0" collapsed="false">
      <c r="A462" s="43" t="str">
        <f aca="false">TEXT('Monthly P&amp;L'!AB$5,"yyyy-mm")</f>
        <v>2029-05</v>
      </c>
      <c r="B462" s="2" t="s">
        <v>228</v>
      </c>
      <c r="C462" s="41" t="n">
        <f aca="false">ROUND('Monthly P&amp;L'!AB31,0)</f>
        <v>1814</v>
      </c>
      <c r="D462" s="4"/>
      <c r="E462" s="4"/>
    </row>
    <row r="463" customFormat="false" ht="15" hidden="false" customHeight="false" outlineLevel="0" collapsed="false">
      <c r="A463" s="43" t="str">
        <f aca="false">TEXT('Monthly P&amp;L'!AB$5,"yyyy-mm")</f>
        <v>2029-05</v>
      </c>
      <c r="B463" s="2" t="s">
        <v>229</v>
      </c>
      <c r="C463" s="41" t="n">
        <f aca="false">ROUND('Monthly P&amp;L'!AB32,0)</f>
        <v>1000</v>
      </c>
      <c r="D463" s="4"/>
      <c r="E463" s="4"/>
    </row>
    <row r="464" customFormat="false" ht="15" hidden="false" customHeight="false" outlineLevel="0" collapsed="false">
      <c r="A464" s="43" t="str">
        <f aca="false">TEXT('Monthly P&amp;L'!AB$5,"yyyy-mm")</f>
        <v>2029-05</v>
      </c>
      <c r="B464" s="2" t="s">
        <v>230</v>
      </c>
      <c r="C464" s="41" t="n">
        <f aca="false">ROUND('Monthly P&amp;L'!AB33,0)</f>
        <v>600</v>
      </c>
      <c r="D464" s="4"/>
      <c r="E464" s="4"/>
    </row>
    <row r="465" customFormat="false" ht="15" hidden="false" customHeight="false" outlineLevel="0" collapsed="false">
      <c r="A465" s="43" t="str">
        <f aca="false">TEXT('Monthly P&amp;L'!AB$5,"yyyy-mm")</f>
        <v>2029-05</v>
      </c>
      <c r="B465" s="2" t="s">
        <v>231</v>
      </c>
      <c r="C465" s="41" t="n">
        <f aca="false">ROUND('Monthly P&amp;L'!AB34,0)</f>
        <v>739</v>
      </c>
      <c r="D465" s="4"/>
      <c r="E465" s="4"/>
    </row>
    <row r="466" customFormat="false" ht="15" hidden="false" customHeight="false" outlineLevel="0" collapsed="false">
      <c r="A466" s="43" t="str">
        <f aca="false">TEXT('Monthly P&amp;L'!AB$5,"yyyy-mm")</f>
        <v>2029-05</v>
      </c>
      <c r="B466" s="2" t="s">
        <v>232</v>
      </c>
      <c r="C466" s="41" t="n">
        <f aca="false">ROUND('Monthly P&amp;L'!AB35,0)</f>
        <v>739</v>
      </c>
      <c r="D466" s="4"/>
      <c r="E466" s="4"/>
    </row>
    <row r="467" customFormat="false" ht="15" hidden="false" customHeight="false" outlineLevel="0" collapsed="false">
      <c r="A467" s="43" t="str">
        <f aca="false">TEXT('Monthly P&amp;L'!AB$5,"yyyy-mm")</f>
        <v>2029-05</v>
      </c>
      <c r="B467" s="2" t="s">
        <v>233</v>
      </c>
      <c r="C467" s="41" t="n">
        <f aca="false">ROUND('Monthly P&amp;L'!AB36,0)</f>
        <v>300</v>
      </c>
      <c r="D467" s="4"/>
      <c r="E467" s="4"/>
    </row>
    <row r="468" customFormat="false" ht="15" hidden="false" customHeight="false" outlineLevel="0" collapsed="false">
      <c r="A468" s="43" t="str">
        <f aca="false">TEXT('Monthly P&amp;L'!AB$5,"yyyy-mm")</f>
        <v>2029-05</v>
      </c>
      <c r="B468" s="2" t="s">
        <v>234</v>
      </c>
      <c r="C468" s="41" t="n">
        <f aca="false">ROUND('Monthly P&amp;L'!AB40,0)</f>
        <v>560</v>
      </c>
      <c r="D468" s="4"/>
      <c r="E468" s="4"/>
    </row>
    <row r="469" customFormat="false" ht="15" hidden="false" customHeight="false" outlineLevel="0" collapsed="false">
      <c r="A469" s="43" t="str">
        <f aca="false">TEXT('Monthly P&amp;L'!AB$5,"yyyy-mm")</f>
        <v>2029-05</v>
      </c>
      <c r="B469" s="2" t="s">
        <v>235</v>
      </c>
      <c r="C469" s="41" t="n">
        <f aca="false">ROUND('Monthly P&amp;L'!AB42,0)</f>
        <v>799</v>
      </c>
      <c r="D469" s="4"/>
      <c r="E469" s="4"/>
    </row>
    <row r="470" customFormat="false" ht="15" hidden="false" customHeight="false" outlineLevel="0" collapsed="false">
      <c r="A470" s="43" t="str">
        <f aca="false">TEXT('Monthly P&amp;L'!AC$5,"yyyy-mm")</f>
        <v>2029-06</v>
      </c>
      <c r="B470" s="2" t="s">
        <v>218</v>
      </c>
      <c r="C470" s="41" t="n">
        <f aca="false">ROUND('Monthly P&amp;L'!AC16,0)</f>
        <v>49631</v>
      </c>
      <c r="D470" s="4"/>
      <c r="E470" s="4"/>
    </row>
    <row r="471" customFormat="false" ht="15" hidden="false" customHeight="false" outlineLevel="0" collapsed="false">
      <c r="A471" s="43" t="str">
        <f aca="false">TEXT('Monthly P&amp;L'!AC$5,"yyyy-mm")</f>
        <v>2029-06</v>
      </c>
      <c r="B471" s="2" t="s">
        <v>219</v>
      </c>
      <c r="C471" s="41" t="n">
        <f aca="false">ROUND('Monthly P&amp;L'!AC17,0)</f>
        <v>-893</v>
      </c>
      <c r="D471" s="4"/>
      <c r="E471" s="4"/>
    </row>
    <row r="472" customFormat="false" ht="15" hidden="false" customHeight="false" outlineLevel="0" collapsed="false">
      <c r="A472" s="43" t="str">
        <f aca="false">TEXT('Monthly P&amp;L'!AC$5,"yyyy-mm")</f>
        <v>2029-06</v>
      </c>
      <c r="B472" s="2" t="s">
        <v>220</v>
      </c>
      <c r="C472" s="41" t="n">
        <f aca="false">ROUND('Monthly P&amp;L'!AC18,0)</f>
        <v>7444</v>
      </c>
      <c r="D472" s="4"/>
      <c r="E472" s="4"/>
    </row>
    <row r="473" customFormat="false" ht="15" hidden="false" customHeight="false" outlineLevel="0" collapsed="false">
      <c r="A473" s="43" t="str">
        <f aca="false">TEXT('Monthly P&amp;L'!AC$5,"yyyy-mm")</f>
        <v>2029-06</v>
      </c>
      <c r="B473" s="2" t="s">
        <v>221</v>
      </c>
      <c r="C473" s="41" t="n">
        <f aca="false">ROUND('Monthly P&amp;L'!AC21,0)</f>
        <v>33749</v>
      </c>
      <c r="D473" s="4"/>
      <c r="E473" s="4"/>
    </row>
    <row r="474" customFormat="false" ht="15" hidden="false" customHeight="false" outlineLevel="0" collapsed="false">
      <c r="A474" s="43" t="str">
        <f aca="false">TEXT('Monthly P&amp;L'!AC$5,"yyyy-mm")</f>
        <v>2029-06</v>
      </c>
      <c r="B474" s="2" t="s">
        <v>222</v>
      </c>
      <c r="C474" s="41" t="n">
        <f aca="false">ROUND('Monthly P&amp;L'!AC25,0)</f>
        <v>3819</v>
      </c>
      <c r="D474" s="4"/>
      <c r="E474" s="4"/>
    </row>
    <row r="475" customFormat="false" ht="15" hidden="false" customHeight="false" outlineLevel="0" collapsed="false">
      <c r="A475" s="43" t="str">
        <f aca="false">TEXT('Monthly P&amp;L'!AC$5,"yyyy-mm")</f>
        <v>2029-06</v>
      </c>
      <c r="B475" s="2" t="s">
        <v>223</v>
      </c>
      <c r="C475" s="41" t="n">
        <f aca="false">ROUND('Monthly P&amp;L'!AC26,0)</f>
        <v>900</v>
      </c>
      <c r="D475" s="4"/>
      <c r="E475" s="4"/>
    </row>
    <row r="476" customFormat="false" ht="15" hidden="false" customHeight="false" outlineLevel="0" collapsed="false">
      <c r="A476" s="43" t="str">
        <f aca="false">TEXT('Monthly P&amp;L'!AC$5,"yyyy-mm")</f>
        <v>2029-06</v>
      </c>
      <c r="B476" s="2" t="s">
        <v>224</v>
      </c>
      <c r="C476" s="41" t="n">
        <f aca="false">ROUND('Monthly P&amp;L'!AC27,0)</f>
        <v>9016</v>
      </c>
      <c r="D476" s="4"/>
      <c r="E476" s="4"/>
    </row>
    <row r="477" customFormat="false" ht="15" hidden="false" customHeight="false" outlineLevel="0" collapsed="false">
      <c r="A477" s="43" t="str">
        <f aca="false">TEXT('Monthly P&amp;L'!AC$5,"yyyy-mm")</f>
        <v>2029-06</v>
      </c>
      <c r="B477" s="2" t="s">
        <v>225</v>
      </c>
      <c r="C477" s="41" t="n">
        <f aca="false">ROUND('Monthly P&amp;L'!AC28,0)</f>
        <v>650</v>
      </c>
      <c r="D477" s="4"/>
      <c r="E477" s="4"/>
    </row>
    <row r="478" customFormat="false" ht="15" hidden="false" customHeight="false" outlineLevel="0" collapsed="false">
      <c r="A478" s="43" t="str">
        <f aca="false">TEXT('Monthly P&amp;L'!AC$5,"yyyy-mm")</f>
        <v>2029-06</v>
      </c>
      <c r="B478" s="2" t="s">
        <v>226</v>
      </c>
      <c r="C478" s="41" t="n">
        <f aca="false">ROUND('Monthly P&amp;L'!AC29,0)</f>
        <v>150</v>
      </c>
      <c r="D478" s="4"/>
      <c r="E478" s="4"/>
    </row>
    <row r="479" customFormat="false" ht="15" hidden="false" customHeight="false" outlineLevel="0" collapsed="false">
      <c r="A479" s="43" t="str">
        <f aca="false">TEXT('Monthly P&amp;L'!AC$5,"yyyy-mm")</f>
        <v>2029-06</v>
      </c>
      <c r="B479" s="2" t="s">
        <v>227</v>
      </c>
      <c r="C479" s="41" t="n">
        <f aca="false">ROUND('Monthly P&amp;L'!AC30,0)</f>
        <v>348</v>
      </c>
      <c r="D479" s="4"/>
      <c r="E479" s="4"/>
    </row>
    <row r="480" customFormat="false" ht="15" hidden="false" customHeight="false" outlineLevel="0" collapsed="false">
      <c r="A480" s="43" t="str">
        <f aca="false">TEXT('Monthly P&amp;L'!AC$5,"yyyy-mm")</f>
        <v>2029-06</v>
      </c>
      <c r="B480" s="2" t="s">
        <v>228</v>
      </c>
      <c r="C480" s="41" t="n">
        <f aca="false">ROUND('Monthly P&amp;L'!AC31,0)</f>
        <v>1826</v>
      </c>
      <c r="D480" s="4"/>
      <c r="E480" s="4"/>
    </row>
    <row r="481" customFormat="false" ht="15" hidden="false" customHeight="false" outlineLevel="0" collapsed="false">
      <c r="A481" s="43" t="str">
        <f aca="false">TEXT('Monthly P&amp;L'!AC$5,"yyyy-mm")</f>
        <v>2029-06</v>
      </c>
      <c r="B481" s="2" t="s">
        <v>229</v>
      </c>
      <c r="C481" s="41" t="n">
        <f aca="false">ROUND('Monthly P&amp;L'!AC32,0)</f>
        <v>1000</v>
      </c>
      <c r="D481" s="4"/>
      <c r="E481" s="4"/>
    </row>
    <row r="482" customFormat="false" ht="15" hidden="false" customHeight="false" outlineLevel="0" collapsed="false">
      <c r="A482" s="43" t="str">
        <f aca="false">TEXT('Monthly P&amp;L'!AC$5,"yyyy-mm")</f>
        <v>2029-06</v>
      </c>
      <c r="B482" s="2" t="s">
        <v>230</v>
      </c>
      <c r="C482" s="41" t="n">
        <f aca="false">ROUND('Monthly P&amp;L'!AC33,0)</f>
        <v>600</v>
      </c>
      <c r="D482" s="4"/>
      <c r="E482" s="4"/>
    </row>
    <row r="483" customFormat="false" ht="15" hidden="false" customHeight="false" outlineLevel="0" collapsed="false">
      <c r="A483" s="43" t="str">
        <f aca="false">TEXT('Monthly P&amp;L'!AC$5,"yyyy-mm")</f>
        <v>2029-06</v>
      </c>
      <c r="B483" s="2" t="s">
        <v>231</v>
      </c>
      <c r="C483" s="41" t="n">
        <f aca="false">ROUND('Monthly P&amp;L'!AC34,0)</f>
        <v>744</v>
      </c>
      <c r="D483" s="4"/>
      <c r="E483" s="4"/>
    </row>
    <row r="484" customFormat="false" ht="15" hidden="false" customHeight="false" outlineLevel="0" collapsed="false">
      <c r="A484" s="43" t="str">
        <f aca="false">TEXT('Monthly P&amp;L'!AC$5,"yyyy-mm")</f>
        <v>2029-06</v>
      </c>
      <c r="B484" s="2" t="s">
        <v>232</v>
      </c>
      <c r="C484" s="41" t="n">
        <f aca="false">ROUND('Monthly P&amp;L'!AC35,0)</f>
        <v>744</v>
      </c>
      <c r="D484" s="4"/>
      <c r="E484" s="4"/>
    </row>
    <row r="485" customFormat="false" ht="15" hidden="false" customHeight="false" outlineLevel="0" collapsed="false">
      <c r="A485" s="43" t="str">
        <f aca="false">TEXT('Monthly P&amp;L'!AC$5,"yyyy-mm")</f>
        <v>2029-06</v>
      </c>
      <c r="B485" s="2" t="s">
        <v>233</v>
      </c>
      <c r="C485" s="41" t="n">
        <f aca="false">ROUND('Monthly P&amp;L'!AC36,0)</f>
        <v>300</v>
      </c>
      <c r="D485" s="4"/>
      <c r="E485" s="4"/>
    </row>
    <row r="486" customFormat="false" ht="15" hidden="false" customHeight="false" outlineLevel="0" collapsed="false">
      <c r="A486" s="43" t="str">
        <f aca="false">TEXT('Monthly P&amp;L'!AC$5,"yyyy-mm")</f>
        <v>2029-06</v>
      </c>
      <c r="B486" s="2" t="s">
        <v>234</v>
      </c>
      <c r="C486" s="41" t="n">
        <f aca="false">ROUND('Monthly P&amp;L'!AC40,0)</f>
        <v>560</v>
      </c>
      <c r="D486" s="4"/>
      <c r="E486" s="4"/>
    </row>
    <row r="487" customFormat="false" ht="15" hidden="false" customHeight="false" outlineLevel="0" collapsed="false">
      <c r="A487" s="43" t="str">
        <f aca="false">TEXT('Monthly P&amp;L'!AC$5,"yyyy-mm")</f>
        <v>2029-06</v>
      </c>
      <c r="B487" s="2" t="s">
        <v>235</v>
      </c>
      <c r="C487" s="41" t="n">
        <f aca="false">ROUND('Monthly P&amp;L'!AC42,0)</f>
        <v>793</v>
      </c>
      <c r="D487" s="4"/>
      <c r="E487" s="4"/>
    </row>
    <row r="488" customFormat="false" ht="15" hidden="false" customHeight="false" outlineLevel="0" collapsed="false">
      <c r="A488" s="43" t="str">
        <f aca="false">TEXT('Monthly P&amp;L'!AD$5,"yyyy-mm")</f>
        <v>2029-07</v>
      </c>
      <c r="B488" s="2" t="s">
        <v>218</v>
      </c>
      <c r="C488" s="41" t="n">
        <f aca="false">ROUND('Monthly P&amp;L'!AD16,0)</f>
        <v>49999</v>
      </c>
      <c r="D488" s="4"/>
      <c r="E488" s="4"/>
    </row>
    <row r="489" customFormat="false" ht="15" hidden="false" customHeight="false" outlineLevel="0" collapsed="false">
      <c r="A489" s="43" t="str">
        <f aca="false">TEXT('Monthly P&amp;L'!AD$5,"yyyy-mm")</f>
        <v>2029-07</v>
      </c>
      <c r="B489" s="2" t="s">
        <v>219</v>
      </c>
      <c r="C489" s="41" t="n">
        <f aca="false">ROUND('Monthly P&amp;L'!AD17,0)</f>
        <v>-900</v>
      </c>
      <c r="D489" s="4"/>
      <c r="E489" s="4"/>
    </row>
    <row r="490" customFormat="false" ht="15" hidden="false" customHeight="false" outlineLevel="0" collapsed="false">
      <c r="A490" s="43" t="str">
        <f aca="false">TEXT('Monthly P&amp;L'!AD$5,"yyyy-mm")</f>
        <v>2029-07</v>
      </c>
      <c r="B490" s="2" t="s">
        <v>220</v>
      </c>
      <c r="C490" s="41" t="n">
        <f aca="false">ROUND('Monthly P&amp;L'!AD18,0)</f>
        <v>7444</v>
      </c>
      <c r="D490" s="4"/>
      <c r="E490" s="4"/>
    </row>
    <row r="491" customFormat="false" ht="15" hidden="false" customHeight="false" outlineLevel="0" collapsed="false">
      <c r="A491" s="43" t="str">
        <f aca="false">TEXT('Monthly P&amp;L'!AD$5,"yyyy-mm")</f>
        <v>2029-07</v>
      </c>
      <c r="B491" s="2" t="s">
        <v>221</v>
      </c>
      <c r="C491" s="41" t="n">
        <f aca="false">ROUND('Monthly P&amp;L'!AD21,0)</f>
        <v>33999</v>
      </c>
      <c r="D491" s="4"/>
      <c r="E491" s="4"/>
    </row>
    <row r="492" customFormat="false" ht="15" hidden="false" customHeight="false" outlineLevel="0" collapsed="false">
      <c r="A492" s="43" t="str">
        <f aca="false">TEXT('Monthly P&amp;L'!AD$5,"yyyy-mm")</f>
        <v>2029-07</v>
      </c>
      <c r="B492" s="2" t="s">
        <v>222</v>
      </c>
      <c r="C492" s="41" t="n">
        <f aca="false">ROUND('Monthly P&amp;L'!AD25,0)</f>
        <v>3819</v>
      </c>
      <c r="D492" s="4"/>
      <c r="E492" s="4"/>
    </row>
    <row r="493" customFormat="false" ht="15" hidden="false" customHeight="false" outlineLevel="0" collapsed="false">
      <c r="A493" s="43" t="str">
        <f aca="false">TEXT('Monthly P&amp;L'!AD$5,"yyyy-mm")</f>
        <v>2029-07</v>
      </c>
      <c r="B493" s="2" t="s">
        <v>223</v>
      </c>
      <c r="C493" s="41" t="n">
        <f aca="false">ROUND('Monthly P&amp;L'!AD26,0)</f>
        <v>900</v>
      </c>
      <c r="D493" s="4"/>
      <c r="E493" s="4"/>
    </row>
    <row r="494" customFormat="false" ht="15" hidden="false" customHeight="false" outlineLevel="0" collapsed="false">
      <c r="A494" s="43" t="str">
        <f aca="false">TEXT('Monthly P&amp;L'!AD$5,"yyyy-mm")</f>
        <v>2029-07</v>
      </c>
      <c r="B494" s="2" t="s">
        <v>224</v>
      </c>
      <c r="C494" s="41" t="n">
        <f aca="false">ROUND('Monthly P&amp;L'!AD27,0)</f>
        <v>9016</v>
      </c>
      <c r="D494" s="4"/>
      <c r="E494" s="4"/>
    </row>
    <row r="495" customFormat="false" ht="15" hidden="false" customHeight="false" outlineLevel="0" collapsed="false">
      <c r="A495" s="43" t="str">
        <f aca="false">TEXT('Monthly P&amp;L'!AD$5,"yyyy-mm")</f>
        <v>2029-07</v>
      </c>
      <c r="B495" s="2" t="s">
        <v>225</v>
      </c>
      <c r="C495" s="41" t="n">
        <f aca="false">ROUND('Monthly P&amp;L'!AD28,0)</f>
        <v>650</v>
      </c>
      <c r="D495" s="4"/>
      <c r="E495" s="4"/>
    </row>
    <row r="496" customFormat="false" ht="15" hidden="false" customHeight="false" outlineLevel="0" collapsed="false">
      <c r="A496" s="43" t="str">
        <f aca="false">TEXT('Monthly P&amp;L'!AD$5,"yyyy-mm")</f>
        <v>2029-07</v>
      </c>
      <c r="B496" s="2" t="s">
        <v>226</v>
      </c>
      <c r="C496" s="41" t="n">
        <f aca="false">ROUND('Monthly P&amp;L'!AD29,0)</f>
        <v>150</v>
      </c>
      <c r="D496" s="4"/>
      <c r="E496" s="4"/>
    </row>
    <row r="497" customFormat="false" ht="15" hidden="false" customHeight="false" outlineLevel="0" collapsed="false">
      <c r="A497" s="43" t="str">
        <f aca="false">TEXT('Monthly P&amp;L'!AD$5,"yyyy-mm")</f>
        <v>2029-07</v>
      </c>
      <c r="B497" s="2" t="s">
        <v>227</v>
      </c>
      <c r="C497" s="41" t="n">
        <f aca="false">ROUND('Monthly P&amp;L'!AD30,0)</f>
        <v>349</v>
      </c>
      <c r="D497" s="4"/>
      <c r="E497" s="4"/>
    </row>
    <row r="498" customFormat="false" ht="15" hidden="false" customHeight="false" outlineLevel="0" collapsed="false">
      <c r="A498" s="43" t="str">
        <f aca="false">TEXT('Monthly P&amp;L'!AD$5,"yyyy-mm")</f>
        <v>2029-07</v>
      </c>
      <c r="B498" s="2" t="s">
        <v>228</v>
      </c>
      <c r="C498" s="41" t="n">
        <f aca="false">ROUND('Monthly P&amp;L'!AD31,0)</f>
        <v>1838</v>
      </c>
      <c r="D498" s="4"/>
      <c r="E498" s="4"/>
    </row>
    <row r="499" customFormat="false" ht="15" hidden="false" customHeight="false" outlineLevel="0" collapsed="false">
      <c r="A499" s="43" t="str">
        <f aca="false">TEXT('Monthly P&amp;L'!AD$5,"yyyy-mm")</f>
        <v>2029-07</v>
      </c>
      <c r="B499" s="2" t="s">
        <v>229</v>
      </c>
      <c r="C499" s="41" t="n">
        <f aca="false">ROUND('Monthly P&amp;L'!AD32,0)</f>
        <v>1000</v>
      </c>
      <c r="D499" s="4"/>
      <c r="E499" s="4"/>
    </row>
    <row r="500" customFormat="false" ht="15" hidden="false" customHeight="false" outlineLevel="0" collapsed="false">
      <c r="A500" s="43" t="str">
        <f aca="false">TEXT('Monthly P&amp;L'!AD$5,"yyyy-mm")</f>
        <v>2029-07</v>
      </c>
      <c r="B500" s="2" t="s">
        <v>230</v>
      </c>
      <c r="C500" s="41" t="n">
        <f aca="false">ROUND('Monthly P&amp;L'!AD33,0)</f>
        <v>600</v>
      </c>
      <c r="D500" s="4"/>
      <c r="E500" s="4"/>
    </row>
    <row r="501" customFormat="false" ht="15" hidden="false" customHeight="false" outlineLevel="0" collapsed="false">
      <c r="A501" s="43" t="str">
        <f aca="false">TEXT('Monthly P&amp;L'!AD$5,"yyyy-mm")</f>
        <v>2029-07</v>
      </c>
      <c r="B501" s="2" t="s">
        <v>231</v>
      </c>
      <c r="C501" s="41" t="n">
        <f aca="false">ROUND('Monthly P&amp;L'!AD34,0)</f>
        <v>750</v>
      </c>
      <c r="D501" s="4"/>
      <c r="E501" s="4"/>
    </row>
    <row r="502" customFormat="false" ht="15" hidden="false" customHeight="false" outlineLevel="0" collapsed="false">
      <c r="A502" s="43" t="str">
        <f aca="false">TEXT('Monthly P&amp;L'!AD$5,"yyyy-mm")</f>
        <v>2029-07</v>
      </c>
      <c r="B502" s="2" t="s">
        <v>232</v>
      </c>
      <c r="C502" s="41" t="n">
        <f aca="false">ROUND('Monthly P&amp;L'!AD35,0)</f>
        <v>750</v>
      </c>
      <c r="D502" s="4"/>
      <c r="E502" s="4"/>
    </row>
    <row r="503" customFormat="false" ht="15" hidden="false" customHeight="false" outlineLevel="0" collapsed="false">
      <c r="A503" s="43" t="str">
        <f aca="false">TEXT('Monthly P&amp;L'!AD$5,"yyyy-mm")</f>
        <v>2029-07</v>
      </c>
      <c r="B503" s="2" t="s">
        <v>233</v>
      </c>
      <c r="C503" s="41" t="n">
        <f aca="false">ROUND('Monthly P&amp;L'!AD36,0)</f>
        <v>300</v>
      </c>
      <c r="D503" s="4"/>
      <c r="E503" s="4"/>
    </row>
    <row r="504" customFormat="false" ht="15" hidden="false" customHeight="false" outlineLevel="0" collapsed="false">
      <c r="A504" s="43" t="str">
        <f aca="false">TEXT('Monthly P&amp;L'!AD$5,"yyyy-mm")</f>
        <v>2029-07</v>
      </c>
      <c r="B504" s="2" t="s">
        <v>234</v>
      </c>
      <c r="C504" s="41" t="n">
        <f aca="false">ROUND('Monthly P&amp;L'!AD40,0)</f>
        <v>560</v>
      </c>
      <c r="D504" s="4"/>
      <c r="E504" s="4"/>
    </row>
    <row r="505" customFormat="false" ht="15" hidden="false" customHeight="false" outlineLevel="0" collapsed="false">
      <c r="A505" s="43" t="str">
        <f aca="false">TEXT('Monthly P&amp;L'!AD$5,"yyyy-mm")</f>
        <v>2029-07</v>
      </c>
      <c r="B505" s="2" t="s">
        <v>235</v>
      </c>
      <c r="C505" s="41" t="n">
        <f aca="false">ROUND('Monthly P&amp;L'!AD42,0)</f>
        <v>788</v>
      </c>
      <c r="D505" s="4"/>
      <c r="E505" s="4"/>
    </row>
    <row r="506" customFormat="false" ht="15" hidden="false" customHeight="false" outlineLevel="0" collapsed="false">
      <c r="A506" s="43" t="str">
        <f aca="false">TEXT('Monthly P&amp;L'!AE$5,"yyyy-mm")</f>
        <v>2029-08</v>
      </c>
      <c r="B506" s="2" t="s">
        <v>218</v>
      </c>
      <c r="C506" s="41" t="n">
        <f aca="false">ROUND('Monthly P&amp;L'!AE16,0)</f>
        <v>50360</v>
      </c>
      <c r="D506" s="4"/>
      <c r="E506" s="4"/>
    </row>
    <row r="507" customFormat="false" ht="15" hidden="false" customHeight="false" outlineLevel="0" collapsed="false">
      <c r="A507" s="43" t="str">
        <f aca="false">TEXT('Monthly P&amp;L'!AE$5,"yyyy-mm")</f>
        <v>2029-08</v>
      </c>
      <c r="B507" s="2" t="s">
        <v>219</v>
      </c>
      <c r="C507" s="41" t="n">
        <f aca="false">ROUND('Monthly P&amp;L'!AE17,0)</f>
        <v>-906</v>
      </c>
      <c r="D507" s="4"/>
      <c r="E507" s="4"/>
    </row>
    <row r="508" customFormat="false" ht="15" hidden="false" customHeight="false" outlineLevel="0" collapsed="false">
      <c r="A508" s="43" t="str">
        <f aca="false">TEXT('Monthly P&amp;L'!AE$5,"yyyy-mm")</f>
        <v>2029-08</v>
      </c>
      <c r="B508" s="2" t="s">
        <v>220</v>
      </c>
      <c r="C508" s="41" t="n">
        <f aca="false">ROUND('Monthly P&amp;L'!AE18,0)</f>
        <v>7444</v>
      </c>
      <c r="D508" s="4"/>
      <c r="E508" s="4"/>
    </row>
    <row r="509" customFormat="false" ht="15" hidden="false" customHeight="false" outlineLevel="0" collapsed="false">
      <c r="A509" s="43" t="str">
        <f aca="false">TEXT('Monthly P&amp;L'!AE$5,"yyyy-mm")</f>
        <v>2029-08</v>
      </c>
      <c r="B509" s="2" t="s">
        <v>221</v>
      </c>
      <c r="C509" s="41" t="n">
        <f aca="false">ROUND('Monthly P&amp;L'!AE21,0)</f>
        <v>34245</v>
      </c>
      <c r="D509" s="4"/>
      <c r="E509" s="4"/>
    </row>
    <row r="510" customFormat="false" ht="15" hidden="false" customHeight="false" outlineLevel="0" collapsed="false">
      <c r="A510" s="43" t="str">
        <f aca="false">TEXT('Monthly P&amp;L'!AE$5,"yyyy-mm")</f>
        <v>2029-08</v>
      </c>
      <c r="B510" s="2" t="s">
        <v>222</v>
      </c>
      <c r="C510" s="41" t="n">
        <f aca="false">ROUND('Monthly P&amp;L'!AE25,0)</f>
        <v>3819</v>
      </c>
      <c r="D510" s="4"/>
      <c r="E510" s="4"/>
    </row>
    <row r="511" customFormat="false" ht="15" hidden="false" customHeight="false" outlineLevel="0" collapsed="false">
      <c r="A511" s="43" t="str">
        <f aca="false">TEXT('Monthly P&amp;L'!AE$5,"yyyy-mm")</f>
        <v>2029-08</v>
      </c>
      <c r="B511" s="2" t="s">
        <v>223</v>
      </c>
      <c r="C511" s="41" t="n">
        <f aca="false">ROUND('Monthly P&amp;L'!AE26,0)</f>
        <v>900</v>
      </c>
      <c r="D511" s="4"/>
      <c r="E511" s="4"/>
    </row>
    <row r="512" customFormat="false" ht="15" hidden="false" customHeight="false" outlineLevel="0" collapsed="false">
      <c r="A512" s="43" t="str">
        <f aca="false">TEXT('Monthly P&amp;L'!AE$5,"yyyy-mm")</f>
        <v>2029-08</v>
      </c>
      <c r="B512" s="2" t="s">
        <v>224</v>
      </c>
      <c r="C512" s="41" t="n">
        <f aca="false">ROUND('Monthly P&amp;L'!AE27,0)</f>
        <v>9016</v>
      </c>
      <c r="D512" s="4"/>
      <c r="E512" s="4"/>
    </row>
    <row r="513" customFormat="false" ht="15" hidden="false" customHeight="false" outlineLevel="0" collapsed="false">
      <c r="A513" s="43" t="str">
        <f aca="false">TEXT('Monthly P&amp;L'!AE$5,"yyyy-mm")</f>
        <v>2029-08</v>
      </c>
      <c r="B513" s="2" t="s">
        <v>225</v>
      </c>
      <c r="C513" s="41" t="n">
        <f aca="false">ROUND('Monthly P&amp;L'!AE28,0)</f>
        <v>650</v>
      </c>
      <c r="D513" s="4"/>
      <c r="E513" s="4"/>
    </row>
    <row r="514" customFormat="false" ht="15" hidden="false" customHeight="false" outlineLevel="0" collapsed="false">
      <c r="A514" s="43" t="str">
        <f aca="false">TEXT('Monthly P&amp;L'!AE$5,"yyyy-mm")</f>
        <v>2029-08</v>
      </c>
      <c r="B514" s="2" t="s">
        <v>226</v>
      </c>
      <c r="C514" s="41" t="n">
        <f aca="false">ROUND('Monthly P&amp;L'!AE29,0)</f>
        <v>150</v>
      </c>
      <c r="D514" s="4"/>
      <c r="E514" s="4"/>
    </row>
    <row r="515" customFormat="false" ht="15" hidden="false" customHeight="false" outlineLevel="0" collapsed="false">
      <c r="A515" s="43" t="str">
        <f aca="false">TEXT('Monthly P&amp;L'!AE$5,"yyyy-mm")</f>
        <v>2029-08</v>
      </c>
      <c r="B515" s="2" t="s">
        <v>227</v>
      </c>
      <c r="C515" s="41" t="n">
        <f aca="false">ROUND('Monthly P&amp;L'!AE30,0)</f>
        <v>350</v>
      </c>
      <c r="D515" s="4"/>
      <c r="E515" s="4"/>
    </row>
    <row r="516" customFormat="false" ht="15" hidden="false" customHeight="false" outlineLevel="0" collapsed="false">
      <c r="A516" s="43" t="str">
        <f aca="false">TEXT('Monthly P&amp;L'!AE$5,"yyyy-mm")</f>
        <v>2029-08</v>
      </c>
      <c r="B516" s="2" t="s">
        <v>228</v>
      </c>
      <c r="C516" s="41" t="n">
        <f aca="false">ROUND('Monthly P&amp;L'!AE31,0)</f>
        <v>1850</v>
      </c>
      <c r="D516" s="4"/>
      <c r="E516" s="4"/>
    </row>
    <row r="517" customFormat="false" ht="15" hidden="false" customHeight="false" outlineLevel="0" collapsed="false">
      <c r="A517" s="43" t="str">
        <f aca="false">TEXT('Monthly P&amp;L'!AE$5,"yyyy-mm")</f>
        <v>2029-08</v>
      </c>
      <c r="B517" s="2" t="s">
        <v>229</v>
      </c>
      <c r="C517" s="41" t="n">
        <f aca="false">ROUND('Monthly P&amp;L'!AE32,0)</f>
        <v>1000</v>
      </c>
      <c r="D517" s="4"/>
      <c r="E517" s="4"/>
    </row>
    <row r="518" customFormat="false" ht="15" hidden="false" customHeight="false" outlineLevel="0" collapsed="false">
      <c r="A518" s="43" t="str">
        <f aca="false">TEXT('Monthly P&amp;L'!AE$5,"yyyy-mm")</f>
        <v>2029-08</v>
      </c>
      <c r="B518" s="2" t="s">
        <v>230</v>
      </c>
      <c r="C518" s="41" t="n">
        <f aca="false">ROUND('Monthly P&amp;L'!AE33,0)</f>
        <v>600</v>
      </c>
      <c r="D518" s="4"/>
      <c r="E518" s="4"/>
    </row>
    <row r="519" customFormat="false" ht="15" hidden="false" customHeight="false" outlineLevel="0" collapsed="false">
      <c r="A519" s="43" t="str">
        <f aca="false">TEXT('Monthly P&amp;L'!AE$5,"yyyy-mm")</f>
        <v>2029-08</v>
      </c>
      <c r="B519" s="2" t="s">
        <v>231</v>
      </c>
      <c r="C519" s="41" t="n">
        <f aca="false">ROUND('Monthly P&amp;L'!AE34,0)</f>
        <v>755</v>
      </c>
      <c r="D519" s="4"/>
      <c r="E519" s="4"/>
    </row>
    <row r="520" customFormat="false" ht="15" hidden="false" customHeight="false" outlineLevel="0" collapsed="false">
      <c r="A520" s="43" t="str">
        <f aca="false">TEXT('Monthly P&amp;L'!AE$5,"yyyy-mm")</f>
        <v>2029-08</v>
      </c>
      <c r="B520" s="2" t="s">
        <v>232</v>
      </c>
      <c r="C520" s="41" t="n">
        <f aca="false">ROUND('Monthly P&amp;L'!AE35,0)</f>
        <v>755</v>
      </c>
      <c r="D520" s="4"/>
      <c r="E520" s="4"/>
    </row>
    <row r="521" customFormat="false" ht="15" hidden="false" customHeight="false" outlineLevel="0" collapsed="false">
      <c r="A521" s="43" t="str">
        <f aca="false">TEXT('Monthly P&amp;L'!AE$5,"yyyy-mm")</f>
        <v>2029-08</v>
      </c>
      <c r="B521" s="2" t="s">
        <v>233</v>
      </c>
      <c r="C521" s="41" t="n">
        <f aca="false">ROUND('Monthly P&amp;L'!AE36,0)</f>
        <v>300</v>
      </c>
      <c r="D521" s="4"/>
      <c r="E521" s="4"/>
    </row>
    <row r="522" customFormat="false" ht="15" hidden="false" customHeight="false" outlineLevel="0" collapsed="false">
      <c r="A522" s="43" t="str">
        <f aca="false">TEXT('Monthly P&amp;L'!AE$5,"yyyy-mm")</f>
        <v>2029-08</v>
      </c>
      <c r="B522" s="2" t="s">
        <v>234</v>
      </c>
      <c r="C522" s="41" t="n">
        <f aca="false">ROUND('Monthly P&amp;L'!AE40,0)</f>
        <v>560</v>
      </c>
      <c r="D522" s="4"/>
      <c r="E522" s="4"/>
    </row>
    <row r="523" customFormat="false" ht="15" hidden="false" customHeight="false" outlineLevel="0" collapsed="false">
      <c r="A523" s="43" t="str">
        <f aca="false">TEXT('Monthly P&amp;L'!AE$5,"yyyy-mm")</f>
        <v>2029-08</v>
      </c>
      <c r="B523" s="2" t="s">
        <v>235</v>
      </c>
      <c r="C523" s="41" t="n">
        <f aca="false">ROUND('Monthly P&amp;L'!AE42,0)</f>
        <v>783</v>
      </c>
      <c r="D523" s="4"/>
      <c r="E523" s="4"/>
    </row>
    <row r="524" customFormat="false" ht="15" hidden="false" customHeight="false" outlineLevel="0" collapsed="false">
      <c r="A524" s="43" t="str">
        <f aca="false">TEXT('Monthly P&amp;L'!AF$5,"yyyy-mm")</f>
        <v>2029-09</v>
      </c>
      <c r="B524" s="2" t="s">
        <v>218</v>
      </c>
      <c r="C524" s="41" t="n">
        <f aca="false">ROUND('Monthly P&amp;L'!AF16,0)</f>
        <v>50714</v>
      </c>
      <c r="D524" s="4"/>
      <c r="E524" s="4"/>
    </row>
    <row r="525" customFormat="false" ht="15" hidden="false" customHeight="false" outlineLevel="0" collapsed="false">
      <c r="A525" s="43" t="str">
        <f aca="false">TEXT('Monthly P&amp;L'!AF$5,"yyyy-mm")</f>
        <v>2029-09</v>
      </c>
      <c r="B525" s="2" t="s">
        <v>219</v>
      </c>
      <c r="C525" s="41" t="n">
        <f aca="false">ROUND('Monthly P&amp;L'!AF17,0)</f>
        <v>-913</v>
      </c>
      <c r="D525" s="4"/>
      <c r="E525" s="4"/>
    </row>
    <row r="526" customFormat="false" ht="15" hidden="false" customHeight="false" outlineLevel="0" collapsed="false">
      <c r="A526" s="43" t="str">
        <f aca="false">TEXT('Monthly P&amp;L'!AF$5,"yyyy-mm")</f>
        <v>2029-09</v>
      </c>
      <c r="B526" s="2" t="s">
        <v>220</v>
      </c>
      <c r="C526" s="41" t="n">
        <f aca="false">ROUND('Monthly P&amp;L'!AF18,0)</f>
        <v>7444</v>
      </c>
      <c r="D526" s="4"/>
      <c r="E526" s="4"/>
    </row>
    <row r="527" customFormat="false" ht="15" hidden="false" customHeight="false" outlineLevel="0" collapsed="false">
      <c r="A527" s="43" t="str">
        <f aca="false">TEXT('Monthly P&amp;L'!AF$5,"yyyy-mm")</f>
        <v>2029-09</v>
      </c>
      <c r="B527" s="2" t="s">
        <v>221</v>
      </c>
      <c r="C527" s="41" t="n">
        <f aca="false">ROUND('Monthly P&amp;L'!AF21,0)</f>
        <v>34485</v>
      </c>
      <c r="D527" s="4"/>
      <c r="E527" s="4"/>
    </row>
    <row r="528" customFormat="false" ht="15" hidden="false" customHeight="false" outlineLevel="0" collapsed="false">
      <c r="A528" s="43" t="str">
        <f aca="false">TEXT('Monthly P&amp;L'!AF$5,"yyyy-mm")</f>
        <v>2029-09</v>
      </c>
      <c r="B528" s="2" t="s">
        <v>222</v>
      </c>
      <c r="C528" s="41" t="n">
        <f aca="false">ROUND('Monthly P&amp;L'!AF25,0)</f>
        <v>3819</v>
      </c>
      <c r="D528" s="4"/>
      <c r="E528" s="4"/>
    </row>
    <row r="529" customFormat="false" ht="15" hidden="false" customHeight="false" outlineLevel="0" collapsed="false">
      <c r="A529" s="43" t="str">
        <f aca="false">TEXT('Monthly P&amp;L'!AF$5,"yyyy-mm")</f>
        <v>2029-09</v>
      </c>
      <c r="B529" s="2" t="s">
        <v>223</v>
      </c>
      <c r="C529" s="41" t="n">
        <f aca="false">ROUND('Monthly P&amp;L'!AF26,0)</f>
        <v>900</v>
      </c>
      <c r="D529" s="4"/>
      <c r="E529" s="4"/>
    </row>
    <row r="530" customFormat="false" ht="15" hidden="false" customHeight="false" outlineLevel="0" collapsed="false">
      <c r="A530" s="43" t="str">
        <f aca="false">TEXT('Monthly P&amp;L'!AF$5,"yyyy-mm")</f>
        <v>2029-09</v>
      </c>
      <c r="B530" s="2" t="s">
        <v>224</v>
      </c>
      <c r="C530" s="41" t="n">
        <f aca="false">ROUND('Monthly P&amp;L'!AF27,0)</f>
        <v>9016</v>
      </c>
      <c r="D530" s="4"/>
      <c r="E530" s="4"/>
    </row>
    <row r="531" customFormat="false" ht="15" hidden="false" customHeight="false" outlineLevel="0" collapsed="false">
      <c r="A531" s="43" t="str">
        <f aca="false">TEXT('Monthly P&amp;L'!AF$5,"yyyy-mm")</f>
        <v>2029-09</v>
      </c>
      <c r="B531" s="2" t="s">
        <v>225</v>
      </c>
      <c r="C531" s="41" t="n">
        <f aca="false">ROUND('Monthly P&amp;L'!AF28,0)</f>
        <v>650</v>
      </c>
      <c r="D531" s="4"/>
      <c r="E531" s="4"/>
    </row>
    <row r="532" customFormat="false" ht="15" hidden="false" customHeight="false" outlineLevel="0" collapsed="false">
      <c r="A532" s="43" t="str">
        <f aca="false">TEXT('Monthly P&amp;L'!AF$5,"yyyy-mm")</f>
        <v>2029-09</v>
      </c>
      <c r="B532" s="2" t="s">
        <v>226</v>
      </c>
      <c r="C532" s="41" t="n">
        <f aca="false">ROUND('Monthly P&amp;L'!AF29,0)</f>
        <v>150</v>
      </c>
      <c r="D532" s="4"/>
      <c r="E532" s="4"/>
    </row>
    <row r="533" customFormat="false" ht="15" hidden="false" customHeight="false" outlineLevel="0" collapsed="false">
      <c r="A533" s="43" t="str">
        <f aca="false">TEXT('Monthly P&amp;L'!AF$5,"yyyy-mm")</f>
        <v>2029-09</v>
      </c>
      <c r="B533" s="2" t="s">
        <v>227</v>
      </c>
      <c r="C533" s="41" t="n">
        <f aca="false">ROUND('Monthly P&amp;L'!AF30,0)</f>
        <v>351</v>
      </c>
      <c r="D533" s="4"/>
      <c r="E533" s="4"/>
    </row>
    <row r="534" customFormat="false" ht="15" hidden="false" customHeight="false" outlineLevel="0" collapsed="false">
      <c r="A534" s="43" t="str">
        <f aca="false">TEXT('Monthly P&amp;L'!AF$5,"yyyy-mm")</f>
        <v>2029-09</v>
      </c>
      <c r="B534" s="2" t="s">
        <v>228</v>
      </c>
      <c r="C534" s="41" t="n">
        <f aca="false">ROUND('Monthly P&amp;L'!AF31,0)</f>
        <v>1861</v>
      </c>
      <c r="D534" s="4"/>
      <c r="E534" s="4"/>
    </row>
    <row r="535" customFormat="false" ht="15" hidden="false" customHeight="false" outlineLevel="0" collapsed="false">
      <c r="A535" s="43" t="str">
        <f aca="false">TEXT('Monthly P&amp;L'!AF$5,"yyyy-mm")</f>
        <v>2029-09</v>
      </c>
      <c r="B535" s="2" t="s">
        <v>229</v>
      </c>
      <c r="C535" s="41" t="n">
        <f aca="false">ROUND('Monthly P&amp;L'!AF32,0)</f>
        <v>1000</v>
      </c>
      <c r="D535" s="4"/>
      <c r="E535" s="4"/>
    </row>
    <row r="536" customFormat="false" ht="15" hidden="false" customHeight="false" outlineLevel="0" collapsed="false">
      <c r="A536" s="43" t="str">
        <f aca="false">TEXT('Monthly P&amp;L'!AF$5,"yyyy-mm")</f>
        <v>2029-09</v>
      </c>
      <c r="B536" s="2" t="s">
        <v>230</v>
      </c>
      <c r="C536" s="41" t="n">
        <f aca="false">ROUND('Monthly P&amp;L'!AF33,0)</f>
        <v>600</v>
      </c>
      <c r="D536" s="4"/>
      <c r="E536" s="4"/>
    </row>
    <row r="537" customFormat="false" ht="15" hidden="false" customHeight="false" outlineLevel="0" collapsed="false">
      <c r="A537" s="43" t="str">
        <f aca="false">TEXT('Monthly P&amp;L'!AF$5,"yyyy-mm")</f>
        <v>2029-09</v>
      </c>
      <c r="B537" s="2" t="s">
        <v>231</v>
      </c>
      <c r="C537" s="41" t="n">
        <f aca="false">ROUND('Monthly P&amp;L'!AF34,0)</f>
        <v>761</v>
      </c>
      <c r="D537" s="4"/>
      <c r="E537" s="4"/>
    </row>
    <row r="538" customFormat="false" ht="15" hidden="false" customHeight="false" outlineLevel="0" collapsed="false">
      <c r="A538" s="43" t="str">
        <f aca="false">TEXT('Monthly P&amp;L'!AF$5,"yyyy-mm")</f>
        <v>2029-09</v>
      </c>
      <c r="B538" s="2" t="s">
        <v>232</v>
      </c>
      <c r="C538" s="41" t="n">
        <f aca="false">ROUND('Monthly P&amp;L'!AF35,0)</f>
        <v>761</v>
      </c>
      <c r="D538" s="4"/>
      <c r="E538" s="4"/>
    </row>
    <row r="539" customFormat="false" ht="15" hidden="false" customHeight="false" outlineLevel="0" collapsed="false">
      <c r="A539" s="43" t="str">
        <f aca="false">TEXT('Monthly P&amp;L'!AF$5,"yyyy-mm")</f>
        <v>2029-09</v>
      </c>
      <c r="B539" s="2" t="s">
        <v>233</v>
      </c>
      <c r="C539" s="41" t="n">
        <f aca="false">ROUND('Monthly P&amp;L'!AF36,0)</f>
        <v>300</v>
      </c>
      <c r="D539" s="4"/>
      <c r="E539" s="4"/>
    </row>
    <row r="540" customFormat="false" ht="15" hidden="false" customHeight="false" outlineLevel="0" collapsed="false">
      <c r="A540" s="43" t="str">
        <f aca="false">TEXT('Monthly P&amp;L'!AF$5,"yyyy-mm")</f>
        <v>2029-09</v>
      </c>
      <c r="B540" s="2" t="s">
        <v>234</v>
      </c>
      <c r="C540" s="41" t="n">
        <f aca="false">ROUND('Monthly P&amp;L'!AF40,0)</f>
        <v>560</v>
      </c>
      <c r="D540" s="4"/>
      <c r="E540" s="4"/>
    </row>
    <row r="541" customFormat="false" ht="15" hidden="false" customHeight="false" outlineLevel="0" collapsed="false">
      <c r="A541" s="43" t="str">
        <f aca="false">TEXT('Monthly P&amp;L'!AF$5,"yyyy-mm")</f>
        <v>2029-09</v>
      </c>
      <c r="B541" s="2" t="s">
        <v>235</v>
      </c>
      <c r="C541" s="41" t="n">
        <f aca="false">ROUND('Monthly P&amp;L'!AF42,0)</f>
        <v>777</v>
      </c>
      <c r="D541" s="4"/>
      <c r="E541" s="4"/>
    </row>
    <row r="542" customFormat="false" ht="15" hidden="false" customHeight="false" outlineLevel="0" collapsed="false">
      <c r="A542" s="43" t="str">
        <f aca="false">TEXT('Monthly P&amp;L'!AG$5,"yyyy-mm")</f>
        <v>2029-10</v>
      </c>
      <c r="B542" s="2" t="s">
        <v>218</v>
      </c>
      <c r="C542" s="41" t="n">
        <f aca="false">ROUND('Monthly P&amp;L'!AG16,0)</f>
        <v>51060</v>
      </c>
      <c r="D542" s="4"/>
      <c r="E542" s="4"/>
    </row>
    <row r="543" customFormat="false" ht="15" hidden="false" customHeight="false" outlineLevel="0" collapsed="false">
      <c r="A543" s="43" t="str">
        <f aca="false">TEXT('Monthly P&amp;L'!AG$5,"yyyy-mm")</f>
        <v>2029-10</v>
      </c>
      <c r="B543" s="2" t="s">
        <v>219</v>
      </c>
      <c r="C543" s="41" t="n">
        <f aca="false">ROUND('Monthly P&amp;L'!AG17,0)</f>
        <v>-919</v>
      </c>
      <c r="D543" s="4"/>
      <c r="E543" s="4"/>
    </row>
    <row r="544" customFormat="false" ht="15" hidden="false" customHeight="false" outlineLevel="0" collapsed="false">
      <c r="A544" s="43" t="str">
        <f aca="false">TEXT('Monthly P&amp;L'!AG$5,"yyyy-mm")</f>
        <v>2029-10</v>
      </c>
      <c r="B544" s="2" t="s">
        <v>220</v>
      </c>
      <c r="C544" s="41" t="n">
        <f aca="false">ROUND('Monthly P&amp;L'!AG18,0)</f>
        <v>6244</v>
      </c>
      <c r="D544" s="4"/>
      <c r="E544" s="4"/>
    </row>
    <row r="545" customFormat="false" ht="15" hidden="false" customHeight="false" outlineLevel="0" collapsed="false">
      <c r="A545" s="43" t="str">
        <f aca="false">TEXT('Monthly P&amp;L'!AG$5,"yyyy-mm")</f>
        <v>2029-10</v>
      </c>
      <c r="B545" s="2" t="s">
        <v>221</v>
      </c>
      <c r="C545" s="41" t="n">
        <f aca="false">ROUND('Monthly P&amp;L'!AG21,0)</f>
        <v>34721</v>
      </c>
      <c r="D545" s="4"/>
      <c r="E545" s="4"/>
    </row>
    <row r="546" customFormat="false" ht="15" hidden="false" customHeight="false" outlineLevel="0" collapsed="false">
      <c r="A546" s="43" t="str">
        <f aca="false">TEXT('Monthly P&amp;L'!AG$5,"yyyy-mm")</f>
        <v>2029-10</v>
      </c>
      <c r="B546" s="2" t="s">
        <v>222</v>
      </c>
      <c r="C546" s="41" t="n">
        <f aca="false">ROUND('Monthly P&amp;L'!AG25,0)</f>
        <v>3819</v>
      </c>
      <c r="D546" s="4"/>
      <c r="E546" s="4"/>
    </row>
    <row r="547" customFormat="false" ht="15" hidden="false" customHeight="false" outlineLevel="0" collapsed="false">
      <c r="A547" s="43" t="str">
        <f aca="false">TEXT('Monthly P&amp;L'!AG$5,"yyyy-mm")</f>
        <v>2029-10</v>
      </c>
      <c r="B547" s="2" t="s">
        <v>223</v>
      </c>
      <c r="C547" s="41" t="n">
        <f aca="false">ROUND('Monthly P&amp;L'!AG26,0)</f>
        <v>900</v>
      </c>
      <c r="D547" s="4"/>
      <c r="E547" s="4"/>
    </row>
    <row r="548" customFormat="false" ht="15" hidden="false" customHeight="false" outlineLevel="0" collapsed="false">
      <c r="A548" s="43" t="str">
        <f aca="false">TEXT('Monthly P&amp;L'!AG$5,"yyyy-mm")</f>
        <v>2029-10</v>
      </c>
      <c r="B548" s="2" t="s">
        <v>224</v>
      </c>
      <c r="C548" s="41" t="n">
        <f aca="false">ROUND('Monthly P&amp;L'!AG27,0)</f>
        <v>9016</v>
      </c>
      <c r="D548" s="4"/>
      <c r="E548" s="4"/>
    </row>
    <row r="549" customFormat="false" ht="15" hidden="false" customHeight="false" outlineLevel="0" collapsed="false">
      <c r="A549" s="43" t="str">
        <f aca="false">TEXT('Monthly P&amp;L'!AG$5,"yyyy-mm")</f>
        <v>2029-10</v>
      </c>
      <c r="B549" s="2" t="s">
        <v>225</v>
      </c>
      <c r="C549" s="41" t="n">
        <f aca="false">ROUND('Monthly P&amp;L'!AG28,0)</f>
        <v>650</v>
      </c>
      <c r="D549" s="4"/>
      <c r="E549" s="4"/>
    </row>
    <row r="550" customFormat="false" ht="15" hidden="false" customHeight="false" outlineLevel="0" collapsed="false">
      <c r="A550" s="43" t="str">
        <f aca="false">TEXT('Monthly P&amp;L'!AG$5,"yyyy-mm")</f>
        <v>2029-10</v>
      </c>
      <c r="B550" s="2" t="s">
        <v>226</v>
      </c>
      <c r="C550" s="41" t="n">
        <f aca="false">ROUND('Monthly P&amp;L'!AG29,0)</f>
        <v>150</v>
      </c>
      <c r="D550" s="4"/>
      <c r="E550" s="4"/>
    </row>
    <row r="551" customFormat="false" ht="15" hidden="false" customHeight="false" outlineLevel="0" collapsed="false">
      <c r="A551" s="43" t="str">
        <f aca="false">TEXT('Monthly P&amp;L'!AG$5,"yyyy-mm")</f>
        <v>2029-10</v>
      </c>
      <c r="B551" s="2" t="s">
        <v>227</v>
      </c>
      <c r="C551" s="41" t="n">
        <f aca="false">ROUND('Monthly P&amp;L'!AG30,0)</f>
        <v>352</v>
      </c>
      <c r="D551" s="4"/>
      <c r="E551" s="4"/>
    </row>
    <row r="552" customFormat="false" ht="15" hidden="false" customHeight="false" outlineLevel="0" collapsed="false">
      <c r="A552" s="43" t="str">
        <f aca="false">TEXT('Monthly P&amp;L'!AG$5,"yyyy-mm")</f>
        <v>2029-10</v>
      </c>
      <c r="B552" s="2" t="s">
        <v>228</v>
      </c>
      <c r="C552" s="41" t="n">
        <f aca="false">ROUND('Monthly P&amp;L'!AG31,0)</f>
        <v>1834</v>
      </c>
      <c r="D552" s="4"/>
      <c r="E552" s="4"/>
    </row>
    <row r="553" customFormat="false" ht="15" hidden="false" customHeight="false" outlineLevel="0" collapsed="false">
      <c r="A553" s="43" t="str">
        <f aca="false">TEXT('Monthly P&amp;L'!AG$5,"yyyy-mm")</f>
        <v>2029-10</v>
      </c>
      <c r="B553" s="2" t="s">
        <v>229</v>
      </c>
      <c r="C553" s="41" t="n">
        <f aca="false">ROUND('Monthly P&amp;L'!AG32,0)</f>
        <v>1000</v>
      </c>
      <c r="D553" s="4"/>
      <c r="E553" s="4"/>
    </row>
    <row r="554" customFormat="false" ht="15" hidden="false" customHeight="false" outlineLevel="0" collapsed="false">
      <c r="A554" s="43" t="str">
        <f aca="false">TEXT('Monthly P&amp;L'!AG$5,"yyyy-mm")</f>
        <v>2029-10</v>
      </c>
      <c r="B554" s="2" t="s">
        <v>230</v>
      </c>
      <c r="C554" s="41" t="n">
        <f aca="false">ROUND('Monthly P&amp;L'!AG33,0)</f>
        <v>600</v>
      </c>
      <c r="D554" s="4"/>
      <c r="E554" s="4"/>
    </row>
    <row r="555" customFormat="false" ht="15" hidden="false" customHeight="false" outlineLevel="0" collapsed="false">
      <c r="A555" s="43" t="str">
        <f aca="false">TEXT('Monthly P&amp;L'!AG$5,"yyyy-mm")</f>
        <v>2029-10</v>
      </c>
      <c r="B555" s="2" t="s">
        <v>231</v>
      </c>
      <c r="C555" s="41" t="n">
        <f aca="false">ROUND('Monthly P&amp;L'!AG34,0)</f>
        <v>766</v>
      </c>
      <c r="D555" s="4"/>
      <c r="E555" s="4"/>
    </row>
    <row r="556" customFormat="false" ht="15" hidden="false" customHeight="false" outlineLevel="0" collapsed="false">
      <c r="A556" s="43" t="str">
        <f aca="false">TEXT('Monthly P&amp;L'!AG$5,"yyyy-mm")</f>
        <v>2029-10</v>
      </c>
      <c r="B556" s="2" t="s">
        <v>232</v>
      </c>
      <c r="C556" s="41" t="n">
        <f aca="false">ROUND('Monthly P&amp;L'!AG35,0)</f>
        <v>766</v>
      </c>
      <c r="D556" s="4"/>
      <c r="E556" s="4"/>
    </row>
    <row r="557" customFormat="false" ht="15" hidden="false" customHeight="false" outlineLevel="0" collapsed="false">
      <c r="A557" s="43" t="str">
        <f aca="false">TEXT('Monthly P&amp;L'!AG$5,"yyyy-mm")</f>
        <v>2029-10</v>
      </c>
      <c r="B557" s="2" t="s">
        <v>233</v>
      </c>
      <c r="C557" s="41" t="n">
        <f aca="false">ROUND('Monthly P&amp;L'!AG36,0)</f>
        <v>300</v>
      </c>
      <c r="D557" s="4"/>
      <c r="E557" s="4"/>
    </row>
    <row r="558" customFormat="false" ht="15" hidden="false" customHeight="false" outlineLevel="0" collapsed="false">
      <c r="A558" s="43" t="str">
        <f aca="false">TEXT('Monthly P&amp;L'!AG$5,"yyyy-mm")</f>
        <v>2029-10</v>
      </c>
      <c r="B558" s="2" t="s">
        <v>234</v>
      </c>
      <c r="C558" s="41" t="n">
        <f aca="false">ROUND('Monthly P&amp;L'!AG40,0)</f>
        <v>560</v>
      </c>
      <c r="D558" s="4"/>
      <c r="E558" s="4"/>
    </row>
    <row r="559" customFormat="false" ht="15" hidden="false" customHeight="false" outlineLevel="0" collapsed="false">
      <c r="A559" s="43" t="str">
        <f aca="false">TEXT('Monthly P&amp;L'!AG$5,"yyyy-mm")</f>
        <v>2029-10</v>
      </c>
      <c r="B559" s="2" t="s">
        <v>235</v>
      </c>
      <c r="C559" s="41" t="n">
        <f aca="false">ROUND('Monthly P&amp;L'!AG42,0)</f>
        <v>772</v>
      </c>
      <c r="D559" s="4"/>
      <c r="E559" s="4"/>
    </row>
    <row r="560" customFormat="false" ht="15" hidden="false" customHeight="false" outlineLevel="0" collapsed="false">
      <c r="A560" s="43" t="str">
        <f aca="false">TEXT('Monthly P&amp;L'!AH$5,"yyyy-mm")</f>
        <v>2029-11</v>
      </c>
      <c r="B560" s="2" t="s">
        <v>218</v>
      </c>
      <c r="C560" s="41" t="n">
        <f aca="false">ROUND('Monthly P&amp;L'!AH16,0)</f>
        <v>51400</v>
      </c>
      <c r="D560" s="4"/>
      <c r="E560" s="4"/>
    </row>
    <row r="561" customFormat="false" ht="15" hidden="false" customHeight="false" outlineLevel="0" collapsed="false">
      <c r="A561" s="43" t="str">
        <f aca="false">TEXT('Monthly P&amp;L'!AH$5,"yyyy-mm")</f>
        <v>2029-11</v>
      </c>
      <c r="B561" s="2" t="s">
        <v>219</v>
      </c>
      <c r="C561" s="41" t="n">
        <f aca="false">ROUND('Monthly P&amp;L'!AH17,0)</f>
        <v>-925</v>
      </c>
      <c r="D561" s="4"/>
      <c r="E561" s="4"/>
    </row>
    <row r="562" customFormat="false" ht="15" hidden="false" customHeight="false" outlineLevel="0" collapsed="false">
      <c r="A562" s="43" t="str">
        <f aca="false">TEXT('Monthly P&amp;L'!AH$5,"yyyy-mm")</f>
        <v>2029-11</v>
      </c>
      <c r="B562" s="2" t="s">
        <v>220</v>
      </c>
      <c r="C562" s="41" t="n">
        <f aca="false">ROUND('Monthly P&amp;L'!AH18,0)</f>
        <v>6244</v>
      </c>
      <c r="D562" s="4"/>
      <c r="E562" s="4"/>
    </row>
    <row r="563" customFormat="false" ht="15" hidden="false" customHeight="false" outlineLevel="0" collapsed="false">
      <c r="A563" s="43" t="str">
        <f aca="false">TEXT('Monthly P&amp;L'!AH$5,"yyyy-mm")</f>
        <v>2029-11</v>
      </c>
      <c r="B563" s="2" t="s">
        <v>221</v>
      </c>
      <c r="C563" s="41" t="n">
        <f aca="false">ROUND('Monthly P&amp;L'!AH21,0)</f>
        <v>34952</v>
      </c>
      <c r="D563" s="4"/>
      <c r="E563" s="4"/>
    </row>
    <row r="564" customFormat="false" ht="15" hidden="false" customHeight="false" outlineLevel="0" collapsed="false">
      <c r="A564" s="43" t="str">
        <f aca="false">TEXT('Monthly P&amp;L'!AH$5,"yyyy-mm")</f>
        <v>2029-11</v>
      </c>
      <c r="B564" s="2" t="s">
        <v>222</v>
      </c>
      <c r="C564" s="41" t="n">
        <f aca="false">ROUND('Monthly P&amp;L'!AH25,0)</f>
        <v>3819</v>
      </c>
      <c r="D564" s="4"/>
      <c r="E564" s="4"/>
    </row>
    <row r="565" customFormat="false" ht="15" hidden="false" customHeight="false" outlineLevel="0" collapsed="false">
      <c r="A565" s="43" t="str">
        <f aca="false">TEXT('Monthly P&amp;L'!AH$5,"yyyy-mm")</f>
        <v>2029-11</v>
      </c>
      <c r="B565" s="2" t="s">
        <v>223</v>
      </c>
      <c r="C565" s="41" t="n">
        <f aca="false">ROUND('Monthly P&amp;L'!AH26,0)</f>
        <v>900</v>
      </c>
      <c r="D565" s="4"/>
      <c r="E565" s="4"/>
    </row>
    <row r="566" customFormat="false" ht="15" hidden="false" customHeight="false" outlineLevel="0" collapsed="false">
      <c r="A566" s="43" t="str">
        <f aca="false">TEXT('Monthly P&amp;L'!AH$5,"yyyy-mm")</f>
        <v>2029-11</v>
      </c>
      <c r="B566" s="2" t="s">
        <v>224</v>
      </c>
      <c r="C566" s="41" t="n">
        <f aca="false">ROUND('Monthly P&amp;L'!AH27,0)</f>
        <v>9016</v>
      </c>
      <c r="D566" s="4"/>
      <c r="E566" s="4"/>
    </row>
    <row r="567" customFormat="false" ht="15" hidden="false" customHeight="false" outlineLevel="0" collapsed="false">
      <c r="A567" s="43" t="str">
        <f aca="false">TEXT('Monthly P&amp;L'!AH$5,"yyyy-mm")</f>
        <v>2029-11</v>
      </c>
      <c r="B567" s="2" t="s">
        <v>225</v>
      </c>
      <c r="C567" s="41" t="n">
        <f aca="false">ROUND('Monthly P&amp;L'!AH28,0)</f>
        <v>650</v>
      </c>
      <c r="D567" s="4"/>
      <c r="E567" s="4"/>
    </row>
    <row r="568" customFormat="false" ht="15" hidden="false" customHeight="false" outlineLevel="0" collapsed="false">
      <c r="A568" s="43" t="str">
        <f aca="false">TEXT('Monthly P&amp;L'!AH$5,"yyyy-mm")</f>
        <v>2029-11</v>
      </c>
      <c r="B568" s="2" t="s">
        <v>226</v>
      </c>
      <c r="C568" s="41" t="n">
        <f aca="false">ROUND('Monthly P&amp;L'!AH29,0)</f>
        <v>150</v>
      </c>
      <c r="D568" s="4"/>
      <c r="E568" s="4"/>
    </row>
    <row r="569" customFormat="false" ht="15" hidden="false" customHeight="false" outlineLevel="0" collapsed="false">
      <c r="A569" s="43" t="str">
        <f aca="false">TEXT('Monthly P&amp;L'!AH$5,"yyyy-mm")</f>
        <v>2029-11</v>
      </c>
      <c r="B569" s="2" t="s">
        <v>227</v>
      </c>
      <c r="C569" s="41" t="n">
        <f aca="false">ROUND('Monthly P&amp;L'!AH30,0)</f>
        <v>353</v>
      </c>
      <c r="D569" s="4"/>
      <c r="E569" s="4"/>
    </row>
    <row r="570" customFormat="false" ht="15" hidden="false" customHeight="false" outlineLevel="0" collapsed="false">
      <c r="A570" s="43" t="str">
        <f aca="false">TEXT('Monthly P&amp;L'!AH$5,"yyyy-mm")</f>
        <v>2029-11</v>
      </c>
      <c r="B570" s="2" t="s">
        <v>228</v>
      </c>
      <c r="C570" s="41" t="n">
        <f aca="false">ROUND('Monthly P&amp;L'!AH31,0)</f>
        <v>1845</v>
      </c>
      <c r="D570" s="4"/>
      <c r="E570" s="4"/>
    </row>
    <row r="571" customFormat="false" ht="15" hidden="false" customHeight="false" outlineLevel="0" collapsed="false">
      <c r="A571" s="43" t="str">
        <f aca="false">TEXT('Monthly P&amp;L'!AH$5,"yyyy-mm")</f>
        <v>2029-11</v>
      </c>
      <c r="B571" s="2" t="s">
        <v>229</v>
      </c>
      <c r="C571" s="41" t="n">
        <f aca="false">ROUND('Monthly P&amp;L'!AH32,0)</f>
        <v>1000</v>
      </c>
      <c r="D571" s="4"/>
      <c r="E571" s="4"/>
    </row>
    <row r="572" customFormat="false" ht="15" hidden="false" customHeight="false" outlineLevel="0" collapsed="false">
      <c r="A572" s="43" t="str">
        <f aca="false">TEXT('Monthly P&amp;L'!AH$5,"yyyy-mm")</f>
        <v>2029-11</v>
      </c>
      <c r="B572" s="2" t="s">
        <v>230</v>
      </c>
      <c r="C572" s="41" t="n">
        <f aca="false">ROUND('Monthly P&amp;L'!AH33,0)</f>
        <v>600</v>
      </c>
      <c r="D572" s="4"/>
      <c r="E572" s="4"/>
    </row>
    <row r="573" customFormat="false" ht="15" hidden="false" customHeight="false" outlineLevel="0" collapsed="false">
      <c r="A573" s="43" t="str">
        <f aca="false">TEXT('Monthly P&amp;L'!AH$5,"yyyy-mm")</f>
        <v>2029-11</v>
      </c>
      <c r="B573" s="2" t="s">
        <v>231</v>
      </c>
      <c r="C573" s="41" t="n">
        <f aca="false">ROUND('Monthly P&amp;L'!AH34,0)</f>
        <v>771</v>
      </c>
      <c r="D573" s="4"/>
      <c r="E573" s="4"/>
    </row>
    <row r="574" customFormat="false" ht="15" hidden="false" customHeight="false" outlineLevel="0" collapsed="false">
      <c r="A574" s="43" t="str">
        <f aca="false">TEXT('Monthly P&amp;L'!AH$5,"yyyy-mm")</f>
        <v>2029-11</v>
      </c>
      <c r="B574" s="2" t="s">
        <v>232</v>
      </c>
      <c r="C574" s="41" t="n">
        <f aca="false">ROUND('Monthly P&amp;L'!AH35,0)</f>
        <v>771</v>
      </c>
      <c r="D574" s="4"/>
      <c r="E574" s="4"/>
    </row>
    <row r="575" customFormat="false" ht="15" hidden="false" customHeight="false" outlineLevel="0" collapsed="false">
      <c r="A575" s="43" t="str">
        <f aca="false">TEXT('Monthly P&amp;L'!AH$5,"yyyy-mm")</f>
        <v>2029-11</v>
      </c>
      <c r="B575" s="2" t="s">
        <v>233</v>
      </c>
      <c r="C575" s="41" t="n">
        <f aca="false">ROUND('Monthly P&amp;L'!AH36,0)</f>
        <v>300</v>
      </c>
      <c r="D575" s="4"/>
      <c r="E575" s="4"/>
    </row>
    <row r="576" customFormat="false" ht="15" hidden="false" customHeight="false" outlineLevel="0" collapsed="false">
      <c r="A576" s="43" t="str">
        <f aca="false">TEXT('Monthly P&amp;L'!AH$5,"yyyy-mm")</f>
        <v>2029-11</v>
      </c>
      <c r="B576" s="2" t="s">
        <v>234</v>
      </c>
      <c r="C576" s="41" t="n">
        <f aca="false">ROUND('Monthly P&amp;L'!AH40,0)</f>
        <v>560</v>
      </c>
      <c r="D576" s="4"/>
      <c r="E576" s="4"/>
    </row>
    <row r="577" customFormat="false" ht="15" hidden="false" customHeight="false" outlineLevel="0" collapsed="false">
      <c r="A577" s="43" t="str">
        <f aca="false">TEXT('Monthly P&amp;L'!AH$5,"yyyy-mm")</f>
        <v>2029-11</v>
      </c>
      <c r="B577" s="2" t="s">
        <v>235</v>
      </c>
      <c r="C577" s="41" t="n">
        <f aca="false">ROUND('Monthly P&amp;L'!AH42,0)</f>
        <v>766</v>
      </c>
      <c r="D577" s="4"/>
      <c r="E577" s="4"/>
    </row>
    <row r="578" customFormat="false" ht="15" hidden="false" customHeight="false" outlineLevel="0" collapsed="false">
      <c r="A578" s="43" t="str">
        <f aca="false">TEXT('Monthly P&amp;L'!AI$5,"yyyy-mm")</f>
        <v>2029-12</v>
      </c>
      <c r="B578" s="2" t="s">
        <v>218</v>
      </c>
      <c r="C578" s="41" t="n">
        <f aca="false">ROUND('Monthly P&amp;L'!AI16,0)</f>
        <v>51733</v>
      </c>
      <c r="D578" s="4"/>
      <c r="E578" s="4"/>
    </row>
    <row r="579" customFormat="false" ht="15" hidden="false" customHeight="false" outlineLevel="0" collapsed="false">
      <c r="A579" s="43" t="str">
        <f aca="false">TEXT('Monthly P&amp;L'!AI$5,"yyyy-mm")</f>
        <v>2029-12</v>
      </c>
      <c r="B579" s="2" t="s">
        <v>219</v>
      </c>
      <c r="C579" s="41" t="n">
        <f aca="false">ROUND('Monthly P&amp;L'!AI17,0)</f>
        <v>-931</v>
      </c>
      <c r="D579" s="4"/>
      <c r="E579" s="4"/>
    </row>
    <row r="580" customFormat="false" ht="15" hidden="false" customHeight="false" outlineLevel="0" collapsed="false">
      <c r="A580" s="43" t="str">
        <f aca="false">TEXT('Monthly P&amp;L'!AI$5,"yyyy-mm")</f>
        <v>2029-12</v>
      </c>
      <c r="B580" s="2" t="s">
        <v>220</v>
      </c>
      <c r="C580" s="41" t="n">
        <f aca="false">ROUND('Monthly P&amp;L'!AI18,0)</f>
        <v>6244</v>
      </c>
      <c r="D580" s="4"/>
      <c r="E580" s="4"/>
    </row>
    <row r="581" customFormat="false" ht="15" hidden="false" customHeight="false" outlineLevel="0" collapsed="false">
      <c r="A581" s="43" t="str">
        <f aca="false">TEXT('Monthly P&amp;L'!AI$5,"yyyy-mm")</f>
        <v>2029-12</v>
      </c>
      <c r="B581" s="2" t="s">
        <v>221</v>
      </c>
      <c r="C581" s="41" t="n">
        <f aca="false">ROUND('Monthly P&amp;L'!AI21,0)</f>
        <v>35178</v>
      </c>
      <c r="D581" s="4"/>
      <c r="E581" s="4"/>
    </row>
    <row r="582" customFormat="false" ht="15" hidden="false" customHeight="false" outlineLevel="0" collapsed="false">
      <c r="A582" s="43" t="str">
        <f aca="false">TEXT('Monthly P&amp;L'!AI$5,"yyyy-mm")</f>
        <v>2029-12</v>
      </c>
      <c r="B582" s="2" t="s">
        <v>222</v>
      </c>
      <c r="C582" s="41" t="n">
        <f aca="false">ROUND('Monthly P&amp;L'!AI25,0)</f>
        <v>3819</v>
      </c>
      <c r="D582" s="4"/>
      <c r="E582" s="4"/>
    </row>
    <row r="583" customFormat="false" ht="15" hidden="false" customHeight="false" outlineLevel="0" collapsed="false">
      <c r="A583" s="43" t="str">
        <f aca="false">TEXT('Monthly P&amp;L'!AI$5,"yyyy-mm")</f>
        <v>2029-12</v>
      </c>
      <c r="B583" s="2" t="s">
        <v>223</v>
      </c>
      <c r="C583" s="41" t="n">
        <f aca="false">ROUND('Monthly P&amp;L'!AI26,0)</f>
        <v>900</v>
      </c>
      <c r="D583" s="4"/>
      <c r="E583" s="4"/>
    </row>
    <row r="584" customFormat="false" ht="15" hidden="false" customHeight="false" outlineLevel="0" collapsed="false">
      <c r="A584" s="43" t="str">
        <f aca="false">TEXT('Monthly P&amp;L'!AI$5,"yyyy-mm")</f>
        <v>2029-12</v>
      </c>
      <c r="B584" s="2" t="s">
        <v>224</v>
      </c>
      <c r="C584" s="41" t="n">
        <f aca="false">ROUND('Monthly P&amp;L'!AI27,0)</f>
        <v>9016</v>
      </c>
      <c r="D584" s="4"/>
      <c r="E584" s="4"/>
    </row>
    <row r="585" customFormat="false" ht="15" hidden="false" customHeight="false" outlineLevel="0" collapsed="false">
      <c r="A585" s="43" t="str">
        <f aca="false">TEXT('Monthly P&amp;L'!AI$5,"yyyy-mm")</f>
        <v>2029-12</v>
      </c>
      <c r="B585" s="2" t="s">
        <v>225</v>
      </c>
      <c r="C585" s="41" t="n">
        <f aca="false">ROUND('Monthly P&amp;L'!AI28,0)</f>
        <v>650</v>
      </c>
      <c r="D585" s="4"/>
      <c r="E585" s="4"/>
    </row>
    <row r="586" customFormat="false" ht="15" hidden="false" customHeight="false" outlineLevel="0" collapsed="false">
      <c r="A586" s="43" t="str">
        <f aca="false">TEXT('Monthly P&amp;L'!AI$5,"yyyy-mm")</f>
        <v>2029-12</v>
      </c>
      <c r="B586" s="2" t="s">
        <v>226</v>
      </c>
      <c r="C586" s="41" t="n">
        <f aca="false">ROUND('Monthly P&amp;L'!AI29,0)</f>
        <v>150</v>
      </c>
      <c r="D586" s="4"/>
      <c r="E586" s="4"/>
    </row>
    <row r="587" customFormat="false" ht="15" hidden="false" customHeight="false" outlineLevel="0" collapsed="false">
      <c r="A587" s="43" t="str">
        <f aca="false">TEXT('Monthly P&amp;L'!AI$5,"yyyy-mm")</f>
        <v>2029-12</v>
      </c>
      <c r="B587" s="2" t="s">
        <v>227</v>
      </c>
      <c r="C587" s="41" t="n">
        <f aca="false">ROUND('Monthly P&amp;L'!AI30,0)</f>
        <v>354</v>
      </c>
      <c r="D587" s="4"/>
      <c r="E587" s="4"/>
    </row>
    <row r="588" customFormat="false" ht="15" hidden="false" customHeight="false" outlineLevel="0" collapsed="false">
      <c r="A588" s="43" t="str">
        <f aca="false">TEXT('Monthly P&amp;L'!AI$5,"yyyy-mm")</f>
        <v>2029-12</v>
      </c>
      <c r="B588" s="2" t="s">
        <v>228</v>
      </c>
      <c r="C588" s="41" t="n">
        <f aca="false">ROUND('Monthly P&amp;L'!AI31,0)</f>
        <v>1855</v>
      </c>
      <c r="D588" s="4"/>
      <c r="E588" s="4"/>
    </row>
    <row r="589" customFormat="false" ht="15" hidden="false" customHeight="false" outlineLevel="0" collapsed="false">
      <c r="A589" s="43" t="str">
        <f aca="false">TEXT('Monthly P&amp;L'!AI$5,"yyyy-mm")</f>
        <v>2029-12</v>
      </c>
      <c r="B589" s="2" t="s">
        <v>229</v>
      </c>
      <c r="C589" s="41" t="n">
        <f aca="false">ROUND('Monthly P&amp;L'!AI32,0)</f>
        <v>1000</v>
      </c>
      <c r="D589" s="4"/>
      <c r="E589" s="4"/>
    </row>
    <row r="590" customFormat="false" ht="15" hidden="false" customHeight="false" outlineLevel="0" collapsed="false">
      <c r="A590" s="43" t="str">
        <f aca="false">TEXT('Monthly P&amp;L'!AI$5,"yyyy-mm")</f>
        <v>2029-12</v>
      </c>
      <c r="B590" s="2" t="s">
        <v>230</v>
      </c>
      <c r="C590" s="41" t="n">
        <f aca="false">ROUND('Monthly P&amp;L'!AI33,0)</f>
        <v>600</v>
      </c>
      <c r="D590" s="4"/>
      <c r="E590" s="4"/>
    </row>
    <row r="591" customFormat="false" ht="15" hidden="false" customHeight="false" outlineLevel="0" collapsed="false">
      <c r="A591" s="43" t="str">
        <f aca="false">TEXT('Monthly P&amp;L'!AI$5,"yyyy-mm")</f>
        <v>2029-12</v>
      </c>
      <c r="B591" s="2" t="s">
        <v>231</v>
      </c>
      <c r="C591" s="41" t="n">
        <f aca="false">ROUND('Monthly P&amp;L'!AI34,0)</f>
        <v>776</v>
      </c>
      <c r="D591" s="4"/>
      <c r="E591" s="4"/>
    </row>
    <row r="592" customFormat="false" ht="15" hidden="false" customHeight="false" outlineLevel="0" collapsed="false">
      <c r="A592" s="43" t="str">
        <f aca="false">TEXT('Monthly P&amp;L'!AI$5,"yyyy-mm")</f>
        <v>2029-12</v>
      </c>
      <c r="B592" s="2" t="s">
        <v>232</v>
      </c>
      <c r="C592" s="41" t="n">
        <f aca="false">ROUND('Monthly P&amp;L'!AI35,0)</f>
        <v>776</v>
      </c>
      <c r="D592" s="4"/>
      <c r="E592" s="4"/>
    </row>
    <row r="593" customFormat="false" ht="15" hidden="false" customHeight="false" outlineLevel="0" collapsed="false">
      <c r="A593" s="43" t="str">
        <f aca="false">TEXT('Monthly P&amp;L'!AI$5,"yyyy-mm")</f>
        <v>2029-12</v>
      </c>
      <c r="B593" s="2" t="s">
        <v>233</v>
      </c>
      <c r="C593" s="41" t="n">
        <f aca="false">ROUND('Monthly P&amp;L'!AI36,0)</f>
        <v>300</v>
      </c>
      <c r="D593" s="4"/>
      <c r="E593" s="4"/>
    </row>
    <row r="594" customFormat="false" ht="15" hidden="false" customHeight="false" outlineLevel="0" collapsed="false">
      <c r="A594" s="43" t="str">
        <f aca="false">TEXT('Monthly P&amp;L'!AI$5,"yyyy-mm")</f>
        <v>2029-12</v>
      </c>
      <c r="B594" s="2" t="s">
        <v>234</v>
      </c>
      <c r="C594" s="41" t="n">
        <f aca="false">ROUND('Monthly P&amp;L'!AI40,0)</f>
        <v>560</v>
      </c>
      <c r="D594" s="4"/>
      <c r="E594" s="4"/>
    </row>
    <row r="595" customFormat="false" ht="15" hidden="false" customHeight="false" outlineLevel="0" collapsed="false">
      <c r="A595" s="43" t="str">
        <f aca="false">TEXT('Monthly P&amp;L'!AI$5,"yyyy-mm")</f>
        <v>2029-12</v>
      </c>
      <c r="B595" s="2" t="s">
        <v>235</v>
      </c>
      <c r="C595" s="41" t="n">
        <f aca="false">ROUND('Monthly P&amp;L'!AI42,0)</f>
        <v>760</v>
      </c>
      <c r="D595" s="4"/>
      <c r="E595" s="4"/>
    </row>
    <row r="596" customFormat="false" ht="15" hidden="false" customHeight="false" outlineLevel="0" collapsed="false">
      <c r="A596" s="43" t="str">
        <f aca="false">TEXT('Monthly P&amp;L'!AJ$5,"yyyy-mm")</f>
        <v>2030-01</v>
      </c>
      <c r="B596" s="2" t="s">
        <v>218</v>
      </c>
      <c r="C596" s="41" t="n">
        <f aca="false">ROUND('Monthly P&amp;L'!AJ16,0)</f>
        <v>52059</v>
      </c>
      <c r="D596" s="4"/>
      <c r="E596" s="4"/>
    </row>
    <row r="597" customFormat="false" ht="15" hidden="false" customHeight="false" outlineLevel="0" collapsed="false">
      <c r="A597" s="43" t="str">
        <f aca="false">TEXT('Monthly P&amp;L'!AJ$5,"yyyy-mm")</f>
        <v>2030-01</v>
      </c>
      <c r="B597" s="2" t="s">
        <v>219</v>
      </c>
      <c r="C597" s="41" t="n">
        <f aca="false">ROUND('Monthly P&amp;L'!AJ17,0)</f>
        <v>-937</v>
      </c>
      <c r="D597" s="4"/>
      <c r="E597" s="4"/>
    </row>
    <row r="598" customFormat="false" ht="15" hidden="false" customHeight="false" outlineLevel="0" collapsed="false">
      <c r="A598" s="43" t="str">
        <f aca="false">TEXT('Monthly P&amp;L'!AJ$5,"yyyy-mm")</f>
        <v>2030-01</v>
      </c>
      <c r="B598" s="2" t="s">
        <v>220</v>
      </c>
      <c r="C598" s="41" t="n">
        <f aca="false">ROUND('Monthly P&amp;L'!AJ18,0)</f>
        <v>6244</v>
      </c>
      <c r="D598" s="4"/>
      <c r="E598" s="4"/>
    </row>
    <row r="599" customFormat="false" ht="15" hidden="false" customHeight="false" outlineLevel="0" collapsed="false">
      <c r="A599" s="43" t="str">
        <f aca="false">TEXT('Monthly P&amp;L'!AJ$5,"yyyy-mm")</f>
        <v>2030-01</v>
      </c>
      <c r="B599" s="2" t="s">
        <v>221</v>
      </c>
      <c r="C599" s="41" t="n">
        <f aca="false">ROUND('Monthly P&amp;L'!AJ21,0)</f>
        <v>35400</v>
      </c>
      <c r="D599" s="4"/>
      <c r="E599" s="4"/>
    </row>
    <row r="600" customFormat="false" ht="15" hidden="false" customHeight="false" outlineLevel="0" collapsed="false">
      <c r="A600" s="43" t="str">
        <f aca="false">TEXT('Monthly P&amp;L'!AJ$5,"yyyy-mm")</f>
        <v>2030-01</v>
      </c>
      <c r="B600" s="2" t="s">
        <v>222</v>
      </c>
      <c r="C600" s="41" t="n">
        <f aca="false">ROUND('Monthly P&amp;L'!AJ25,0)</f>
        <v>3819</v>
      </c>
      <c r="D600" s="4"/>
      <c r="E600" s="4"/>
    </row>
    <row r="601" customFormat="false" ht="15" hidden="false" customHeight="false" outlineLevel="0" collapsed="false">
      <c r="A601" s="43" t="str">
        <f aca="false">TEXT('Monthly P&amp;L'!AJ$5,"yyyy-mm")</f>
        <v>2030-01</v>
      </c>
      <c r="B601" s="2" t="s">
        <v>223</v>
      </c>
      <c r="C601" s="41" t="n">
        <f aca="false">ROUND('Monthly P&amp;L'!AJ26,0)</f>
        <v>900</v>
      </c>
      <c r="D601" s="4"/>
      <c r="E601" s="4"/>
    </row>
    <row r="602" customFormat="false" ht="15" hidden="false" customHeight="false" outlineLevel="0" collapsed="false">
      <c r="A602" s="43" t="str">
        <f aca="false">TEXT('Monthly P&amp;L'!AJ$5,"yyyy-mm")</f>
        <v>2030-01</v>
      </c>
      <c r="B602" s="2" t="s">
        <v>224</v>
      </c>
      <c r="C602" s="41" t="n">
        <f aca="false">ROUND('Monthly P&amp;L'!AJ27,0)</f>
        <v>9016</v>
      </c>
      <c r="D602" s="4"/>
      <c r="E602" s="4"/>
    </row>
    <row r="603" customFormat="false" ht="15" hidden="false" customHeight="false" outlineLevel="0" collapsed="false">
      <c r="A603" s="43" t="str">
        <f aca="false">TEXT('Monthly P&amp;L'!AJ$5,"yyyy-mm")</f>
        <v>2030-01</v>
      </c>
      <c r="B603" s="2" t="s">
        <v>225</v>
      </c>
      <c r="C603" s="41" t="n">
        <f aca="false">ROUND('Monthly P&amp;L'!AJ28,0)</f>
        <v>650</v>
      </c>
      <c r="D603" s="4"/>
      <c r="E603" s="4"/>
    </row>
    <row r="604" customFormat="false" ht="15" hidden="false" customHeight="false" outlineLevel="0" collapsed="false">
      <c r="A604" s="43" t="str">
        <f aca="false">TEXT('Monthly P&amp;L'!AJ$5,"yyyy-mm")</f>
        <v>2030-01</v>
      </c>
      <c r="B604" s="2" t="s">
        <v>226</v>
      </c>
      <c r="C604" s="41" t="n">
        <f aca="false">ROUND('Monthly P&amp;L'!AJ29,0)</f>
        <v>150</v>
      </c>
      <c r="D604" s="4"/>
      <c r="E604" s="4"/>
    </row>
    <row r="605" customFormat="false" ht="15" hidden="false" customHeight="false" outlineLevel="0" collapsed="false">
      <c r="A605" s="43" t="str">
        <f aca="false">TEXT('Monthly P&amp;L'!AJ$5,"yyyy-mm")</f>
        <v>2030-01</v>
      </c>
      <c r="B605" s="2" t="s">
        <v>227</v>
      </c>
      <c r="C605" s="41" t="n">
        <f aca="false">ROUND('Monthly P&amp;L'!AJ30,0)</f>
        <v>355</v>
      </c>
      <c r="D605" s="4"/>
      <c r="E605" s="4"/>
    </row>
    <row r="606" customFormat="false" ht="15" hidden="false" customHeight="false" outlineLevel="0" collapsed="false">
      <c r="A606" s="43" t="str">
        <f aca="false">TEXT('Monthly P&amp;L'!AJ$5,"yyyy-mm")</f>
        <v>2030-01</v>
      </c>
      <c r="B606" s="2" t="s">
        <v>228</v>
      </c>
      <c r="C606" s="41" t="n">
        <f aca="false">ROUND('Monthly P&amp;L'!AJ31,0)</f>
        <v>1866</v>
      </c>
      <c r="D606" s="4"/>
      <c r="E606" s="4"/>
    </row>
    <row r="607" customFormat="false" ht="15" hidden="false" customHeight="false" outlineLevel="0" collapsed="false">
      <c r="A607" s="43" t="str">
        <f aca="false">TEXT('Monthly P&amp;L'!AJ$5,"yyyy-mm")</f>
        <v>2030-01</v>
      </c>
      <c r="B607" s="2" t="s">
        <v>229</v>
      </c>
      <c r="C607" s="41" t="n">
        <f aca="false">ROUND('Monthly P&amp;L'!AJ32,0)</f>
        <v>1000</v>
      </c>
      <c r="D607" s="4"/>
      <c r="E607" s="4"/>
    </row>
    <row r="608" customFormat="false" ht="15" hidden="false" customHeight="false" outlineLevel="0" collapsed="false">
      <c r="A608" s="43" t="str">
        <f aca="false">TEXT('Monthly P&amp;L'!AJ$5,"yyyy-mm")</f>
        <v>2030-01</v>
      </c>
      <c r="B608" s="2" t="s">
        <v>230</v>
      </c>
      <c r="C608" s="41" t="n">
        <f aca="false">ROUND('Monthly P&amp;L'!AJ33,0)</f>
        <v>600</v>
      </c>
      <c r="D608" s="4"/>
      <c r="E608" s="4"/>
    </row>
    <row r="609" customFormat="false" ht="15" hidden="false" customHeight="false" outlineLevel="0" collapsed="false">
      <c r="A609" s="43" t="str">
        <f aca="false">TEXT('Monthly P&amp;L'!AJ$5,"yyyy-mm")</f>
        <v>2030-01</v>
      </c>
      <c r="B609" s="2" t="s">
        <v>231</v>
      </c>
      <c r="C609" s="41" t="n">
        <f aca="false">ROUND('Monthly P&amp;L'!AJ34,0)</f>
        <v>781</v>
      </c>
      <c r="D609" s="4"/>
      <c r="E609" s="4"/>
    </row>
    <row r="610" customFormat="false" ht="15" hidden="false" customHeight="false" outlineLevel="0" collapsed="false">
      <c r="A610" s="43" t="str">
        <f aca="false">TEXT('Monthly P&amp;L'!AJ$5,"yyyy-mm")</f>
        <v>2030-01</v>
      </c>
      <c r="B610" s="2" t="s">
        <v>232</v>
      </c>
      <c r="C610" s="41" t="n">
        <f aca="false">ROUND('Monthly P&amp;L'!AJ35,0)</f>
        <v>781</v>
      </c>
      <c r="D610" s="4"/>
      <c r="E610" s="4"/>
    </row>
    <row r="611" customFormat="false" ht="15" hidden="false" customHeight="false" outlineLevel="0" collapsed="false">
      <c r="A611" s="43" t="str">
        <f aca="false">TEXT('Monthly P&amp;L'!AJ$5,"yyyy-mm")</f>
        <v>2030-01</v>
      </c>
      <c r="B611" s="2" t="s">
        <v>233</v>
      </c>
      <c r="C611" s="41" t="n">
        <f aca="false">ROUND('Monthly P&amp;L'!AJ36,0)</f>
        <v>300</v>
      </c>
      <c r="D611" s="4"/>
      <c r="E611" s="4"/>
    </row>
    <row r="612" customFormat="false" ht="15" hidden="false" customHeight="false" outlineLevel="0" collapsed="false">
      <c r="A612" s="43" t="str">
        <f aca="false">TEXT('Monthly P&amp;L'!AJ$5,"yyyy-mm")</f>
        <v>2030-01</v>
      </c>
      <c r="B612" s="2" t="s">
        <v>234</v>
      </c>
      <c r="C612" s="41" t="n">
        <f aca="false">ROUND('Monthly P&amp;L'!AJ40,0)</f>
        <v>560</v>
      </c>
      <c r="D612" s="4"/>
      <c r="E612" s="4"/>
    </row>
    <row r="613" customFormat="false" ht="15" hidden="false" customHeight="false" outlineLevel="0" collapsed="false">
      <c r="A613" s="43" t="str">
        <f aca="false">TEXT('Monthly P&amp;L'!AJ$5,"yyyy-mm")</f>
        <v>2030-01</v>
      </c>
      <c r="B613" s="2" t="s">
        <v>235</v>
      </c>
      <c r="C613" s="41" t="n">
        <f aca="false">ROUND('Monthly P&amp;L'!AJ42,0)</f>
        <v>755</v>
      </c>
      <c r="D613" s="4"/>
      <c r="E613" s="4"/>
    </row>
    <row r="614" customFormat="false" ht="15" hidden="false" customHeight="false" outlineLevel="0" collapsed="false">
      <c r="A614" s="43" t="str">
        <f aca="false">TEXT('Monthly P&amp;L'!AK$5,"yyyy-mm")</f>
        <v>2030-02</v>
      </c>
      <c r="B614" s="2" t="s">
        <v>218</v>
      </c>
      <c r="C614" s="41" t="n">
        <f aca="false">ROUND('Monthly P&amp;L'!AK16,0)</f>
        <v>52378</v>
      </c>
      <c r="D614" s="4"/>
      <c r="E614" s="4"/>
    </row>
    <row r="615" customFormat="false" ht="15" hidden="false" customHeight="false" outlineLevel="0" collapsed="false">
      <c r="A615" s="43" t="str">
        <f aca="false">TEXT('Monthly P&amp;L'!AK$5,"yyyy-mm")</f>
        <v>2030-02</v>
      </c>
      <c r="B615" s="2" t="s">
        <v>219</v>
      </c>
      <c r="C615" s="41" t="n">
        <f aca="false">ROUND('Monthly P&amp;L'!AK17,0)</f>
        <v>-943</v>
      </c>
      <c r="D615" s="4"/>
      <c r="E615" s="4"/>
    </row>
    <row r="616" customFormat="false" ht="15" hidden="false" customHeight="false" outlineLevel="0" collapsed="false">
      <c r="A616" s="43" t="str">
        <f aca="false">TEXT('Monthly P&amp;L'!AK$5,"yyyy-mm")</f>
        <v>2030-02</v>
      </c>
      <c r="B616" s="2" t="s">
        <v>220</v>
      </c>
      <c r="C616" s="41" t="n">
        <f aca="false">ROUND('Monthly P&amp;L'!AK18,0)</f>
        <v>6244</v>
      </c>
      <c r="D616" s="4"/>
      <c r="E616" s="4"/>
    </row>
    <row r="617" customFormat="false" ht="15" hidden="false" customHeight="false" outlineLevel="0" collapsed="false">
      <c r="A617" s="43" t="str">
        <f aca="false">TEXT('Monthly P&amp;L'!AK$5,"yyyy-mm")</f>
        <v>2030-02</v>
      </c>
      <c r="B617" s="2" t="s">
        <v>221</v>
      </c>
      <c r="C617" s="41" t="n">
        <f aca="false">ROUND('Monthly P&amp;L'!AK21,0)</f>
        <v>35617</v>
      </c>
      <c r="D617" s="4"/>
      <c r="E617" s="4"/>
    </row>
    <row r="618" customFormat="false" ht="15" hidden="false" customHeight="false" outlineLevel="0" collapsed="false">
      <c r="A618" s="43" t="str">
        <f aca="false">TEXT('Monthly P&amp;L'!AK$5,"yyyy-mm")</f>
        <v>2030-02</v>
      </c>
      <c r="B618" s="2" t="s">
        <v>222</v>
      </c>
      <c r="C618" s="41" t="n">
        <f aca="false">ROUND('Monthly P&amp;L'!AK25,0)</f>
        <v>3819</v>
      </c>
      <c r="D618" s="4"/>
      <c r="E618" s="4"/>
    </row>
    <row r="619" customFormat="false" ht="15" hidden="false" customHeight="false" outlineLevel="0" collapsed="false">
      <c r="A619" s="43" t="str">
        <f aca="false">TEXT('Monthly P&amp;L'!AK$5,"yyyy-mm")</f>
        <v>2030-02</v>
      </c>
      <c r="B619" s="2" t="s">
        <v>223</v>
      </c>
      <c r="C619" s="41" t="n">
        <f aca="false">ROUND('Monthly P&amp;L'!AK26,0)</f>
        <v>900</v>
      </c>
      <c r="D619" s="4"/>
      <c r="E619" s="4"/>
    </row>
    <row r="620" customFormat="false" ht="15" hidden="false" customHeight="false" outlineLevel="0" collapsed="false">
      <c r="A620" s="43" t="str">
        <f aca="false">TEXT('Monthly P&amp;L'!AK$5,"yyyy-mm")</f>
        <v>2030-02</v>
      </c>
      <c r="B620" s="2" t="s">
        <v>224</v>
      </c>
      <c r="C620" s="41" t="n">
        <f aca="false">ROUND('Monthly P&amp;L'!AK27,0)</f>
        <v>9016</v>
      </c>
      <c r="D620" s="4"/>
      <c r="E620" s="4"/>
    </row>
    <row r="621" customFormat="false" ht="15" hidden="false" customHeight="false" outlineLevel="0" collapsed="false">
      <c r="A621" s="43" t="str">
        <f aca="false">TEXT('Monthly P&amp;L'!AK$5,"yyyy-mm")</f>
        <v>2030-02</v>
      </c>
      <c r="B621" s="2" t="s">
        <v>225</v>
      </c>
      <c r="C621" s="41" t="n">
        <f aca="false">ROUND('Monthly P&amp;L'!AK28,0)</f>
        <v>650</v>
      </c>
      <c r="D621" s="4"/>
      <c r="E621" s="4"/>
    </row>
    <row r="622" customFormat="false" ht="15" hidden="false" customHeight="false" outlineLevel="0" collapsed="false">
      <c r="A622" s="43" t="str">
        <f aca="false">TEXT('Monthly P&amp;L'!AK$5,"yyyy-mm")</f>
        <v>2030-02</v>
      </c>
      <c r="B622" s="2" t="s">
        <v>226</v>
      </c>
      <c r="C622" s="41" t="n">
        <f aca="false">ROUND('Monthly P&amp;L'!AK29,0)</f>
        <v>150</v>
      </c>
      <c r="D622" s="4"/>
      <c r="E622" s="4"/>
    </row>
    <row r="623" customFormat="false" ht="15" hidden="false" customHeight="false" outlineLevel="0" collapsed="false">
      <c r="A623" s="43" t="str">
        <f aca="false">TEXT('Monthly P&amp;L'!AK$5,"yyyy-mm")</f>
        <v>2030-02</v>
      </c>
      <c r="B623" s="2" t="s">
        <v>227</v>
      </c>
      <c r="C623" s="41" t="n">
        <f aca="false">ROUND('Monthly P&amp;L'!AK30,0)</f>
        <v>356</v>
      </c>
      <c r="D623" s="4"/>
      <c r="E623" s="4"/>
    </row>
    <row r="624" customFormat="false" ht="15" hidden="false" customHeight="false" outlineLevel="0" collapsed="false">
      <c r="A624" s="43" t="str">
        <f aca="false">TEXT('Monthly P&amp;L'!AK$5,"yyyy-mm")</f>
        <v>2030-02</v>
      </c>
      <c r="B624" s="2" t="s">
        <v>228</v>
      </c>
      <c r="C624" s="41" t="n">
        <f aca="false">ROUND('Monthly P&amp;L'!AK31,0)</f>
        <v>1876</v>
      </c>
      <c r="D624" s="4"/>
      <c r="E624" s="4"/>
    </row>
    <row r="625" customFormat="false" ht="15" hidden="false" customHeight="false" outlineLevel="0" collapsed="false">
      <c r="A625" s="43" t="str">
        <f aca="false">TEXT('Monthly P&amp;L'!AK$5,"yyyy-mm")</f>
        <v>2030-02</v>
      </c>
      <c r="B625" s="2" t="s">
        <v>229</v>
      </c>
      <c r="C625" s="41" t="n">
        <f aca="false">ROUND('Monthly P&amp;L'!AK32,0)</f>
        <v>1000</v>
      </c>
      <c r="D625" s="4"/>
      <c r="E625" s="4"/>
    </row>
    <row r="626" customFormat="false" ht="15" hidden="false" customHeight="false" outlineLevel="0" collapsed="false">
      <c r="A626" s="43" t="str">
        <f aca="false">TEXT('Monthly P&amp;L'!AK$5,"yyyy-mm")</f>
        <v>2030-02</v>
      </c>
      <c r="B626" s="2" t="s">
        <v>230</v>
      </c>
      <c r="C626" s="41" t="n">
        <f aca="false">ROUND('Monthly P&amp;L'!AK33,0)</f>
        <v>600</v>
      </c>
      <c r="D626" s="4"/>
      <c r="E626" s="4"/>
    </row>
    <row r="627" customFormat="false" ht="15" hidden="false" customHeight="false" outlineLevel="0" collapsed="false">
      <c r="A627" s="43" t="str">
        <f aca="false">TEXT('Monthly P&amp;L'!AK$5,"yyyy-mm")</f>
        <v>2030-02</v>
      </c>
      <c r="B627" s="2" t="s">
        <v>231</v>
      </c>
      <c r="C627" s="41" t="n">
        <f aca="false">ROUND('Monthly P&amp;L'!AK34,0)</f>
        <v>786</v>
      </c>
      <c r="D627" s="4"/>
      <c r="E627" s="4"/>
    </row>
    <row r="628" customFormat="false" ht="15" hidden="false" customHeight="false" outlineLevel="0" collapsed="false">
      <c r="A628" s="43" t="str">
        <f aca="false">TEXT('Monthly P&amp;L'!AK$5,"yyyy-mm")</f>
        <v>2030-02</v>
      </c>
      <c r="B628" s="2" t="s">
        <v>232</v>
      </c>
      <c r="C628" s="41" t="n">
        <f aca="false">ROUND('Monthly P&amp;L'!AK35,0)</f>
        <v>786</v>
      </c>
      <c r="D628" s="4"/>
      <c r="E628" s="4"/>
    </row>
    <row r="629" customFormat="false" ht="15" hidden="false" customHeight="false" outlineLevel="0" collapsed="false">
      <c r="A629" s="43" t="str">
        <f aca="false">TEXT('Monthly P&amp;L'!AK$5,"yyyy-mm")</f>
        <v>2030-02</v>
      </c>
      <c r="B629" s="2" t="s">
        <v>233</v>
      </c>
      <c r="C629" s="41" t="n">
        <f aca="false">ROUND('Monthly P&amp;L'!AK36,0)</f>
        <v>300</v>
      </c>
      <c r="D629" s="4"/>
      <c r="E629" s="4"/>
    </row>
    <row r="630" customFormat="false" ht="15" hidden="false" customHeight="false" outlineLevel="0" collapsed="false">
      <c r="A630" s="43" t="str">
        <f aca="false">TEXT('Monthly P&amp;L'!AK$5,"yyyy-mm")</f>
        <v>2030-02</v>
      </c>
      <c r="B630" s="2" t="s">
        <v>234</v>
      </c>
      <c r="C630" s="41" t="n">
        <f aca="false">ROUND('Monthly P&amp;L'!AK40,0)</f>
        <v>560</v>
      </c>
      <c r="D630" s="4"/>
      <c r="E630" s="4"/>
    </row>
    <row r="631" customFormat="false" ht="15" hidden="false" customHeight="false" outlineLevel="0" collapsed="false">
      <c r="A631" s="43" t="str">
        <f aca="false">TEXT('Monthly P&amp;L'!AK$5,"yyyy-mm")</f>
        <v>2030-02</v>
      </c>
      <c r="B631" s="2" t="s">
        <v>235</v>
      </c>
      <c r="C631" s="41" t="n">
        <f aca="false">ROUND('Monthly P&amp;L'!AK42,0)</f>
        <v>749</v>
      </c>
      <c r="D631" s="4"/>
      <c r="E631" s="4"/>
    </row>
    <row r="632" customFormat="false" ht="15" hidden="false" customHeight="false" outlineLevel="0" collapsed="false">
      <c r="A632" s="43" t="str">
        <f aca="false">TEXT('Monthly P&amp;L'!AL$5,"yyyy-mm")</f>
        <v>2030-03</v>
      </c>
      <c r="B632" s="2" t="s">
        <v>218</v>
      </c>
      <c r="C632" s="41" t="n">
        <f aca="false">ROUND('Monthly P&amp;L'!AL16,0)</f>
        <v>52692</v>
      </c>
      <c r="D632" s="4"/>
      <c r="E632" s="4"/>
    </row>
    <row r="633" customFormat="false" ht="15" hidden="false" customHeight="false" outlineLevel="0" collapsed="false">
      <c r="A633" s="43" t="str">
        <f aca="false">TEXT('Monthly P&amp;L'!AL$5,"yyyy-mm")</f>
        <v>2030-03</v>
      </c>
      <c r="B633" s="2" t="s">
        <v>219</v>
      </c>
      <c r="C633" s="41" t="n">
        <f aca="false">ROUND('Monthly P&amp;L'!AL17,0)</f>
        <v>-948</v>
      </c>
      <c r="D633" s="4"/>
      <c r="E633" s="4"/>
    </row>
    <row r="634" customFormat="false" ht="15" hidden="false" customHeight="false" outlineLevel="0" collapsed="false">
      <c r="A634" s="43" t="str">
        <f aca="false">TEXT('Monthly P&amp;L'!AL$5,"yyyy-mm")</f>
        <v>2030-03</v>
      </c>
      <c r="B634" s="2" t="s">
        <v>220</v>
      </c>
      <c r="C634" s="41" t="n">
        <f aca="false">ROUND('Monthly P&amp;L'!AL18,0)</f>
        <v>6244</v>
      </c>
      <c r="D634" s="4"/>
      <c r="E634" s="4"/>
    </row>
    <row r="635" customFormat="false" ht="15" hidden="false" customHeight="false" outlineLevel="0" collapsed="false">
      <c r="A635" s="43" t="str">
        <f aca="false">TEXT('Monthly P&amp;L'!AL$5,"yyyy-mm")</f>
        <v>2030-03</v>
      </c>
      <c r="B635" s="2" t="s">
        <v>221</v>
      </c>
      <c r="C635" s="41" t="n">
        <f aca="false">ROUND('Monthly P&amp;L'!AL21,0)</f>
        <v>35830</v>
      </c>
      <c r="D635" s="4"/>
      <c r="E635" s="4"/>
    </row>
    <row r="636" customFormat="false" ht="15" hidden="false" customHeight="false" outlineLevel="0" collapsed="false">
      <c r="A636" s="43" t="str">
        <f aca="false">TEXT('Monthly P&amp;L'!AL$5,"yyyy-mm")</f>
        <v>2030-03</v>
      </c>
      <c r="B636" s="2" t="s">
        <v>222</v>
      </c>
      <c r="C636" s="41" t="n">
        <f aca="false">ROUND('Monthly P&amp;L'!AL25,0)</f>
        <v>3819</v>
      </c>
      <c r="D636" s="4"/>
      <c r="E636" s="4"/>
    </row>
    <row r="637" customFormat="false" ht="15" hidden="false" customHeight="false" outlineLevel="0" collapsed="false">
      <c r="A637" s="43" t="str">
        <f aca="false">TEXT('Monthly P&amp;L'!AL$5,"yyyy-mm")</f>
        <v>2030-03</v>
      </c>
      <c r="B637" s="2" t="s">
        <v>223</v>
      </c>
      <c r="C637" s="41" t="n">
        <f aca="false">ROUND('Monthly P&amp;L'!AL26,0)</f>
        <v>900</v>
      </c>
      <c r="D637" s="4"/>
      <c r="E637" s="4"/>
    </row>
    <row r="638" customFormat="false" ht="15" hidden="false" customHeight="false" outlineLevel="0" collapsed="false">
      <c r="A638" s="43" t="str">
        <f aca="false">TEXT('Monthly P&amp;L'!AL$5,"yyyy-mm")</f>
        <v>2030-03</v>
      </c>
      <c r="B638" s="2" t="s">
        <v>224</v>
      </c>
      <c r="C638" s="41" t="n">
        <f aca="false">ROUND('Monthly P&amp;L'!AL27,0)</f>
        <v>9016</v>
      </c>
      <c r="D638" s="4"/>
      <c r="E638" s="4"/>
    </row>
    <row r="639" customFormat="false" ht="15" hidden="false" customHeight="false" outlineLevel="0" collapsed="false">
      <c r="A639" s="43" t="str">
        <f aca="false">TEXT('Monthly P&amp;L'!AL$5,"yyyy-mm")</f>
        <v>2030-03</v>
      </c>
      <c r="B639" s="2" t="s">
        <v>225</v>
      </c>
      <c r="C639" s="41" t="n">
        <f aca="false">ROUND('Monthly P&amp;L'!AL28,0)</f>
        <v>650</v>
      </c>
      <c r="D639" s="4"/>
      <c r="E639" s="4"/>
    </row>
    <row r="640" customFormat="false" ht="15" hidden="false" customHeight="false" outlineLevel="0" collapsed="false">
      <c r="A640" s="43" t="str">
        <f aca="false">TEXT('Monthly P&amp;L'!AL$5,"yyyy-mm")</f>
        <v>2030-03</v>
      </c>
      <c r="B640" s="2" t="s">
        <v>226</v>
      </c>
      <c r="C640" s="41" t="n">
        <f aca="false">ROUND('Monthly P&amp;L'!AL29,0)</f>
        <v>150</v>
      </c>
      <c r="D640" s="4"/>
      <c r="E640" s="4"/>
    </row>
    <row r="641" customFormat="false" ht="15" hidden="false" customHeight="false" outlineLevel="0" collapsed="false">
      <c r="A641" s="43" t="str">
        <f aca="false">TEXT('Monthly P&amp;L'!AL$5,"yyyy-mm")</f>
        <v>2030-03</v>
      </c>
      <c r="B641" s="2" t="s">
        <v>227</v>
      </c>
      <c r="C641" s="41" t="n">
        <f aca="false">ROUND('Monthly P&amp;L'!AL30,0)</f>
        <v>357</v>
      </c>
      <c r="D641" s="4"/>
      <c r="E641" s="4"/>
    </row>
    <row r="642" customFormat="false" ht="15" hidden="false" customHeight="false" outlineLevel="0" collapsed="false">
      <c r="A642" s="43" t="str">
        <f aca="false">TEXT('Monthly P&amp;L'!AL$5,"yyyy-mm")</f>
        <v>2030-03</v>
      </c>
      <c r="B642" s="2" t="s">
        <v>228</v>
      </c>
      <c r="C642" s="41" t="n">
        <f aca="false">ROUND('Monthly P&amp;L'!AL31,0)</f>
        <v>1886</v>
      </c>
      <c r="D642" s="4"/>
      <c r="E642" s="4"/>
    </row>
    <row r="643" customFormat="false" ht="15" hidden="false" customHeight="false" outlineLevel="0" collapsed="false">
      <c r="A643" s="43" t="str">
        <f aca="false">TEXT('Monthly P&amp;L'!AL$5,"yyyy-mm")</f>
        <v>2030-03</v>
      </c>
      <c r="B643" s="2" t="s">
        <v>229</v>
      </c>
      <c r="C643" s="41" t="n">
        <f aca="false">ROUND('Monthly P&amp;L'!AL32,0)</f>
        <v>1000</v>
      </c>
      <c r="D643" s="4"/>
      <c r="E643" s="4"/>
    </row>
    <row r="644" customFormat="false" ht="15" hidden="false" customHeight="false" outlineLevel="0" collapsed="false">
      <c r="A644" s="43" t="str">
        <f aca="false">TEXT('Monthly P&amp;L'!AL$5,"yyyy-mm")</f>
        <v>2030-03</v>
      </c>
      <c r="B644" s="2" t="s">
        <v>230</v>
      </c>
      <c r="C644" s="41" t="n">
        <f aca="false">ROUND('Monthly P&amp;L'!AL33,0)</f>
        <v>600</v>
      </c>
      <c r="D644" s="4"/>
      <c r="E644" s="4"/>
    </row>
    <row r="645" customFormat="false" ht="15" hidden="false" customHeight="false" outlineLevel="0" collapsed="false">
      <c r="A645" s="43" t="str">
        <f aca="false">TEXT('Monthly P&amp;L'!AL$5,"yyyy-mm")</f>
        <v>2030-03</v>
      </c>
      <c r="B645" s="2" t="s">
        <v>231</v>
      </c>
      <c r="C645" s="41" t="n">
        <f aca="false">ROUND('Monthly P&amp;L'!AL34,0)</f>
        <v>790</v>
      </c>
      <c r="D645" s="4"/>
      <c r="E645" s="4"/>
    </row>
    <row r="646" customFormat="false" ht="15" hidden="false" customHeight="false" outlineLevel="0" collapsed="false">
      <c r="A646" s="43" t="str">
        <f aca="false">TEXT('Monthly P&amp;L'!AL$5,"yyyy-mm")</f>
        <v>2030-03</v>
      </c>
      <c r="B646" s="2" t="s">
        <v>232</v>
      </c>
      <c r="C646" s="41" t="n">
        <f aca="false">ROUND('Monthly P&amp;L'!AL35,0)</f>
        <v>790</v>
      </c>
      <c r="D646" s="4"/>
      <c r="E646" s="4"/>
    </row>
    <row r="647" customFormat="false" ht="15" hidden="false" customHeight="false" outlineLevel="0" collapsed="false">
      <c r="A647" s="43" t="str">
        <f aca="false">TEXT('Monthly P&amp;L'!AL$5,"yyyy-mm")</f>
        <v>2030-03</v>
      </c>
      <c r="B647" s="2" t="s">
        <v>233</v>
      </c>
      <c r="C647" s="41" t="n">
        <f aca="false">ROUND('Monthly P&amp;L'!AL36,0)</f>
        <v>300</v>
      </c>
      <c r="D647" s="4"/>
      <c r="E647" s="4"/>
    </row>
    <row r="648" customFormat="false" ht="15" hidden="false" customHeight="false" outlineLevel="0" collapsed="false">
      <c r="A648" s="43" t="str">
        <f aca="false">TEXT('Monthly P&amp;L'!AL$5,"yyyy-mm")</f>
        <v>2030-03</v>
      </c>
      <c r="B648" s="2" t="s">
        <v>234</v>
      </c>
      <c r="C648" s="41" t="n">
        <f aca="false">ROUND('Monthly P&amp;L'!AL40,0)</f>
        <v>560</v>
      </c>
      <c r="D648" s="4"/>
      <c r="E648" s="4"/>
    </row>
    <row r="649" customFormat="false" ht="15" hidden="false" customHeight="false" outlineLevel="0" collapsed="false">
      <c r="A649" s="43" t="str">
        <f aca="false">TEXT('Monthly P&amp;L'!AL$5,"yyyy-mm")</f>
        <v>2030-03</v>
      </c>
      <c r="B649" s="2" t="s">
        <v>235</v>
      </c>
      <c r="C649" s="41" t="n">
        <f aca="false">ROUND('Monthly P&amp;L'!AL42,0)</f>
        <v>743</v>
      </c>
      <c r="D649" s="4"/>
      <c r="E64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2026-09-30T20:20:40Z</dcterms:created>
  <dc:creator>openpyxl</dc:creator>
  <dc:description/>
  <dc:language>en-US</dc:language>
  <cp:lastModifiedBy/>
  <dcterms:modified xsi:type="dcterms:W3CDTF">2026-09-30T20:20:41Z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